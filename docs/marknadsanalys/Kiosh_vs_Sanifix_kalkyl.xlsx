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kyl" sheetId="1" state="visible" r:id="rId1"/>
    <sheet name="Sanifix-info" sheetId="2" state="visible" r:id="rId2"/>
    <sheet name="Scenar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kr&quot;"/>
    <numFmt numFmtId="165" formatCode="#,##0 &quot;kr/dag&quot;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2D9C4A"/>
      <sz val="16"/>
    </font>
    <font>
      <i val="1"/>
      <color rgb="00666666"/>
      <sz val="10"/>
    </font>
    <font>
      <b val="1"/>
      <color rgb="00FFFFFF"/>
      <sz val="12"/>
    </font>
    <font>
      <b val="1"/>
    </font>
    <font>
      <b val="1"/>
      <sz val="11"/>
    </font>
    <font>
      <i val="1"/>
      <color rgb="00666666"/>
      <sz val="9"/>
    </font>
    <font>
      <b val="1"/>
      <sz val="12"/>
    </font>
    <font>
      <b val="1"/>
      <color rgb="00C0392B"/>
      <sz val="12"/>
    </font>
    <font>
      <b val="1"/>
      <color rgb="002D9C4A"/>
      <sz val="12"/>
    </font>
    <font>
      <b val="1"/>
      <sz val="14"/>
    </font>
    <font/>
  </fonts>
  <fills count="7">
    <fill>
      <patternFill/>
    </fill>
    <fill>
      <patternFill patternType="gray125"/>
    </fill>
    <fill>
      <patternFill patternType="solid">
        <fgColor rgb="002D9C4A"/>
        <bgColor rgb="002D9C4A"/>
      </patternFill>
    </fill>
    <fill>
      <patternFill patternType="solid">
        <fgColor rgb="00FFF8DC"/>
        <bgColor rgb="00FFF8DC"/>
      </patternFill>
    </fill>
    <fill>
      <patternFill patternType="solid">
        <fgColor rgb="00FF6B35"/>
        <bgColor rgb="00FF6B35"/>
      </patternFill>
    </fill>
    <fill>
      <patternFill patternType="solid">
        <fgColor rgb="00FFE4E1"/>
        <bgColor rgb="00FFE4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5" fillId="0" borderId="0" pivotButton="0" quotePrefix="0" xfId="0"/>
    <xf numFmtId="164" fontId="0" fillId="0" borderId="1" pivotButton="0" quotePrefix="0" xfId="0"/>
    <xf numFmtId="0" fontId="4" fillId="0" borderId="0" pivotButton="0" quotePrefix="0" xfId="0"/>
    <xf numFmtId="164" fontId="5" fillId="6" borderId="1" pivotButton="0" quotePrefix="0" xfId="0"/>
    <xf numFmtId="0" fontId="7" fillId="0" borderId="0" pivotButton="0" quotePrefix="0" xfId="0"/>
    <xf numFmtId="164" fontId="8" fillId="5" borderId="1" pivotButton="0" quotePrefix="0" xfId="0"/>
    <xf numFmtId="165" fontId="0" fillId="0" borderId="1" pivotButton="0" quotePrefix="0" xfId="0"/>
    <xf numFmtId="164" fontId="9" fillId="6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7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🚽  Kiosh vs Sanifix — Prisjämförelse</t>
        </is>
      </c>
    </row>
    <row r="2">
      <c r="A2" s="2" t="inlineStr">
        <is>
          <t>Ange dina parametrar i gula fält — beräkningar uppdateras automatiskt</t>
        </is>
      </c>
    </row>
    <row r="4">
      <c r="A4" s="3" t="inlineStr">
        <is>
          <t>📋  PARAMETRAR</t>
        </is>
      </c>
    </row>
    <row r="5">
      <c r="A5" s="4" t="inlineStr">
        <is>
          <t>Antal toaletter</t>
        </is>
      </c>
      <c r="B5" s="5" t="n">
        <v>1</v>
      </c>
      <c r="C5" s="6" t="inlineStr">
        <is>
          <t>st</t>
        </is>
      </c>
    </row>
    <row r="6">
      <c r="A6" s="4" t="inlineStr">
        <is>
          <t>Antal dagar (hyrtid)</t>
        </is>
      </c>
      <c r="B6" s="5" t="n">
        <v>4</v>
      </c>
      <c r="C6" s="6" t="inlineStr">
        <is>
          <t>dagar</t>
        </is>
      </c>
    </row>
    <row r="7">
      <c r="A7" s="4" t="inlineStr">
        <is>
          <t>Antal service-tillfällen</t>
        </is>
      </c>
      <c r="B7" s="5" t="n">
        <v>0</v>
      </c>
      <c r="C7" s="6" t="inlineStr">
        <is>
          <t>st</t>
        </is>
      </c>
    </row>
    <row r="8">
      <c r="A8" s="4" t="inlineStr">
        <is>
          <t>Postnummer för leverans</t>
        </is>
      </c>
      <c r="B8" s="5" t="inlineStr">
        <is>
          <t>13244</t>
        </is>
      </c>
      <c r="C8" s="6" t="inlineStr"/>
    </row>
    <row r="9">
      <c r="A9" s="4" t="inlineStr">
        <is>
          <t>Avstånd till hub (km)</t>
        </is>
      </c>
      <c r="B9" s="5" t="n">
        <v>0</v>
      </c>
      <c r="C9" s="6" t="inlineStr">
        <is>
          <t>km — kollas mot Kiosh /api/availability</t>
        </is>
      </c>
    </row>
    <row r="11">
      <c r="A11" s="7" t="inlineStr">
        <is>
          <t>💼  SANIFIX (konkurrent)</t>
        </is>
      </c>
    </row>
    <row r="12">
      <c r="A12" s="8" t="inlineStr">
        <is>
          <t>Grundpris Holken 1-4 dagar (per st)</t>
        </is>
      </c>
      <c r="B12" s="9" t="n">
        <v>3896</v>
      </c>
      <c r="C12" s="6" t="inlineStr">
        <is>
          <t>kr</t>
        </is>
      </c>
    </row>
    <row r="13">
      <c r="A13" s="8" t="inlineStr">
        <is>
          <t>Tilläggspris efter dag 4 (per st/dag)</t>
        </is>
      </c>
      <c r="B13" s="9" t="n">
        <v>50</v>
      </c>
      <c r="C13" s="6" t="inlineStr">
        <is>
          <t>kr</t>
        </is>
      </c>
    </row>
    <row r="14">
      <c r="A14" s="8" t="inlineStr">
        <is>
          <t>Extra service (per tillfälle)</t>
        </is>
      </c>
      <c r="B14" s="9" t="n">
        <v>1948</v>
      </c>
      <c r="C14" s="6" t="inlineStr">
        <is>
          <t>kr</t>
        </is>
      </c>
    </row>
    <row r="15">
      <c r="A15" s="8" t="inlineStr">
        <is>
          <t>Sluttömning ingår</t>
        </is>
      </c>
      <c r="B15" s="9" t="inlineStr">
        <is>
          <t>Ja</t>
        </is>
      </c>
      <c r="C15" s="6" t="inlineStr"/>
    </row>
    <row r="16">
      <c r="A16" s="8" t="inlineStr">
        <is>
          <t>Leverans + retur ingår (Stockholms-området vardagar)</t>
        </is>
      </c>
      <c r="B16" s="9" t="inlineStr">
        <is>
          <t>Ja</t>
        </is>
      </c>
      <c r="C16" s="6" t="inlineStr"/>
    </row>
    <row r="17">
      <c r="A17" s="8" t="inlineStr">
        <is>
          <t>Moms</t>
        </is>
      </c>
      <c r="B17" s="9" t="inlineStr">
        <is>
          <t>25%</t>
        </is>
      </c>
      <c r="C17" s="6" t="inlineStr">
        <is>
          <t>tillkommer</t>
        </is>
      </c>
    </row>
    <row r="19">
      <c r="A19" s="10" t="inlineStr">
        <is>
          <t>BERÄKNING SANIFIX</t>
        </is>
      </c>
    </row>
    <row r="20">
      <c r="A20" t="inlineStr">
        <is>
          <t xml:space="preserve">  Grundpris (1-4 dagar)</t>
        </is>
      </c>
      <c r="B20" s="11">
        <f>B5*B12</f>
        <v/>
      </c>
    </row>
    <row r="21">
      <c r="A21" t="inlineStr">
        <is>
          <t xml:space="preserve">  Extra dagar (&gt;4)</t>
        </is>
      </c>
      <c r="B21" s="11">
        <f>IF(B6&gt;4, (B6-4)*B13*B5, 0)</f>
        <v/>
      </c>
    </row>
    <row r="22">
      <c r="A22" t="inlineStr">
        <is>
          <t xml:space="preserve">  Extra service</t>
        </is>
      </c>
      <c r="B22" s="11">
        <f>B7*B14</f>
        <v/>
      </c>
    </row>
    <row r="23">
      <c r="A23" s="12" t="inlineStr">
        <is>
          <t xml:space="preserve">  SUMMA exkl. moms</t>
        </is>
      </c>
      <c r="B23" s="13">
        <f>SUM(B20:B22)</f>
        <v/>
      </c>
    </row>
    <row r="24">
      <c r="A24" t="inlineStr">
        <is>
          <t xml:space="preserve">  Moms 25%</t>
        </is>
      </c>
      <c r="B24" s="11">
        <f>B23*0.25</f>
        <v/>
      </c>
    </row>
    <row r="25">
      <c r="A25" s="14" t="inlineStr">
        <is>
          <t xml:space="preserve">  TOTALT SANIFIX inkl. moms</t>
        </is>
      </c>
      <c r="B25" s="15">
        <f>B23+B24</f>
        <v/>
      </c>
    </row>
    <row r="27">
      <c r="A27" s="3" t="inlineStr">
        <is>
          <t>🚽  KIOSH (våran)</t>
        </is>
      </c>
    </row>
    <row r="28">
      <c r="A28" t="inlineStr">
        <is>
          <t>Välj produkt</t>
        </is>
      </c>
      <c r="B28" s="5" t="inlineStr">
        <is>
          <t>Standardtoalett</t>
        </is>
      </c>
      <c r="C28" s="6" t="inlineStr">
        <is>
          <t>(Standard / Premium / Handikapp / Lyx)</t>
        </is>
      </c>
    </row>
    <row r="30">
      <c r="A30" s="12" t="inlineStr">
        <is>
          <t>Pris per dag (uppslag mot katalogen)</t>
        </is>
      </c>
    </row>
    <row r="31">
      <c r="A31" t="inlineStr">
        <is>
          <t xml:space="preserve">  Standardtoalett</t>
        </is>
      </c>
      <c r="B31" s="16" t="n">
        <v>900</v>
      </c>
    </row>
    <row r="32">
      <c r="A32" t="inlineStr">
        <is>
          <t xml:space="preserve">  Premiumtoalett</t>
        </is>
      </c>
      <c r="B32" s="16" t="n">
        <v>1500</v>
      </c>
    </row>
    <row r="33">
      <c r="A33" t="inlineStr">
        <is>
          <t xml:space="preserve">  Handikapptoalett</t>
        </is>
      </c>
      <c r="B33" s="16" t="n">
        <v>1800</v>
      </c>
    </row>
    <row r="34">
      <c r="A34" t="inlineStr">
        <is>
          <t xml:space="preserve">  Lyxtoalett</t>
        </is>
      </c>
      <c r="B34" s="16" t="n">
        <v>2500</v>
      </c>
    </row>
    <row r="36">
      <c r="A36" t="inlineStr">
        <is>
          <t>Leveransavgift (från Stockholm Norr)</t>
        </is>
      </c>
      <c r="B36" s="11" t="n">
        <v>150</v>
      </c>
      <c r="C36" s="6" t="inlineStr">
        <is>
          <t>0 km, BaseDeliveryFee</t>
        </is>
      </c>
    </row>
    <row r="37">
      <c r="A37" t="inlineStr">
        <is>
          <t>Express-avgift (om ≤ 3 dagar fram)</t>
        </is>
      </c>
      <c r="B37" s="11" t="n">
        <v>500</v>
      </c>
    </row>
    <row r="38">
      <c r="A38" t="inlineStr">
        <is>
          <t>Servicenivå-multiplikator (Bas / Std+20% / Premium+40%)</t>
        </is>
      </c>
      <c r="B38" s="5" t="n">
        <v>1</v>
      </c>
      <c r="C38" s="6" t="inlineStr">
        <is>
          <t>1.0 = Bas, 1.2 = Standard, 1.4 = Premium</t>
        </is>
      </c>
    </row>
    <row r="40">
      <c r="A40" s="10" t="inlineStr">
        <is>
          <t>BERÄKNING KIOSH</t>
        </is>
      </c>
    </row>
    <row r="41">
      <c r="A41" t="inlineStr">
        <is>
          <t xml:space="preserve">  Pris per dag (vald produkt)</t>
        </is>
      </c>
      <c r="B41" s="11">
        <f>VLOOKUP(B28, A31:B34, 2, FALSE)</f>
        <v/>
      </c>
    </row>
    <row r="42">
      <c r="A42" t="inlineStr">
        <is>
          <t xml:space="preserve">  Toaletthyra (st × dagar × pris)</t>
        </is>
      </c>
      <c r="B42" s="11">
        <f>B5*B6*B41</f>
        <v/>
      </c>
    </row>
    <row r="43">
      <c r="A43" t="inlineStr">
        <is>
          <t xml:space="preserve">  Servicepåslag</t>
        </is>
      </c>
      <c r="B43" s="11">
        <f>B42*(B38-1)</f>
        <v/>
      </c>
    </row>
    <row r="44">
      <c r="A44" t="inlineStr">
        <is>
          <t xml:space="preserve">  Leverans</t>
        </is>
      </c>
      <c r="B44" s="11">
        <f>B36</f>
        <v/>
      </c>
    </row>
    <row r="45">
      <c r="A45" s="12" t="inlineStr">
        <is>
          <t xml:space="preserve">  SUMMA exkl. moms</t>
        </is>
      </c>
      <c r="B45" s="13">
        <f>B42+B43+B44</f>
        <v/>
      </c>
    </row>
    <row r="46">
      <c r="A46" t="inlineStr">
        <is>
          <t xml:space="preserve">  Moms 25%</t>
        </is>
      </c>
      <c r="B46" s="11">
        <f>B45*0.25</f>
        <v/>
      </c>
    </row>
    <row r="47">
      <c r="A47" s="14" t="inlineStr">
        <is>
          <t xml:space="preserve">  TOTALT KIOSH inkl. moms</t>
        </is>
      </c>
      <c r="B47" s="17">
        <f>B45+B46</f>
        <v/>
      </c>
    </row>
    <row r="49">
      <c r="A49" s="3" t="inlineStr">
        <is>
          <t>⚖️  JÄMFÖRELSE</t>
        </is>
      </c>
    </row>
    <row r="50">
      <c r="A50" t="inlineStr">
        <is>
          <t>Differens (Kiosh − Sanifix)</t>
        </is>
      </c>
      <c r="B50" s="18">
        <f>B47-B25</f>
        <v/>
      </c>
    </row>
    <row r="51">
      <c r="A51" t="inlineStr">
        <is>
          <t>Differens (%)</t>
        </is>
      </c>
      <c r="B51" s="19">
        <f>IFERROR((B47-B25)/B25, 0)</f>
        <v/>
      </c>
    </row>
    <row r="52">
      <c r="A52" t="inlineStr">
        <is>
          <t>Status</t>
        </is>
      </c>
      <c r="B52" s="20">
        <f>IF(B47&lt;B25, "✅ Kiosh BILLIGARE", IF(B47=B25, "⚖️ Samma pris", "⚠️ Kiosh DYRARE"))</f>
        <v/>
      </c>
    </row>
  </sheetData>
  <mergeCells count="8">
    <mergeCell ref="A2:F2"/>
    <mergeCell ref="A11:F11"/>
    <mergeCell ref="A49:F49"/>
    <mergeCell ref="A19:B19"/>
    <mergeCell ref="A1:F1"/>
    <mergeCell ref="A27:F27"/>
    <mergeCell ref="A4:F4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5" customWidth="1" min="3" max="3"/>
  </cols>
  <sheetData>
    <row r="1">
      <c r="A1" s="21" t="inlineStr">
        <is>
          <t>📨  Sanifix — citat från mail-konversation 2026-06-11</t>
        </is>
      </c>
    </row>
    <row r="2">
      <c r="A2" s="22" t="inlineStr"/>
      <c r="B2" t="inlineStr"/>
      <c r="C2" s="23" t="inlineStr"/>
    </row>
    <row r="3">
      <c r="A3" s="12" t="inlineStr">
        <is>
          <t>PRODUKT</t>
        </is>
      </c>
      <c r="B3" t="inlineStr">
        <is>
          <t>Holkentoalett</t>
        </is>
      </c>
      <c r="C3" s="23" t="inlineStr">
        <is>
          <t>https://www.sanifix.se/produkter/toaletter/holkenbajamaja/</t>
        </is>
      </c>
    </row>
    <row r="4">
      <c r="A4" s="12" t="inlineStr">
        <is>
          <t>Grundpris 1-4 dagar</t>
        </is>
      </c>
      <c r="B4" t="inlineStr">
        <is>
          <t>3 896 kr/st</t>
        </is>
      </c>
      <c r="C4" s="23" t="inlineStr">
        <is>
          <t>Inkl. leverans T/R, sluttömning + slutstädning</t>
        </is>
      </c>
    </row>
    <row r="5">
      <c r="A5" s="12" t="inlineStr">
        <is>
          <t>Efter dag 4</t>
        </is>
      </c>
      <c r="B5" t="inlineStr">
        <is>
          <t>50 kr/dag/st</t>
        </is>
      </c>
      <c r="C5" s="23" t="inlineStr"/>
    </row>
    <row r="6">
      <c r="A6" s="12" t="inlineStr">
        <is>
          <t>Extra service</t>
        </is>
      </c>
      <c r="B6" t="inlineStr">
        <is>
          <t>1 948 kr/tillfälle</t>
        </is>
      </c>
      <c r="C6" s="23" t="inlineStr">
        <is>
          <t>Tömning, tvätt, nytt förbrukningsmaterial</t>
        </is>
      </c>
    </row>
    <row r="7">
      <c r="A7" s="12" t="inlineStr">
        <is>
          <t>Service-rekommendation byggjobb</t>
        </is>
      </c>
      <c r="B7" t="inlineStr">
        <is>
          <t>var 14:e dag</t>
        </is>
      </c>
      <c r="C7" s="23" t="inlineStr">
        <is>
          <t>2-3 gubbar vardagar — 1-2 service räcker</t>
        </is>
      </c>
    </row>
    <row r="8">
      <c r="A8" s="12" t="inlineStr">
        <is>
          <t>Service-rekommendation kräftskiva</t>
        </is>
      </c>
      <c r="B8" t="inlineStr">
        <is>
          <t>Inget extra</t>
        </is>
      </c>
      <c r="C8" s="23" t="inlineStr">
        <is>
          <t>Sluttömning ingår vid hemtagning</t>
        </is>
      </c>
    </row>
    <row r="9">
      <c r="A9" s="12" t="inlineStr">
        <is>
          <t>Moms</t>
        </is>
      </c>
      <c r="B9" t="inlineStr">
        <is>
          <t>25% tillkommer</t>
        </is>
      </c>
      <c r="C9" s="23" t="inlineStr"/>
    </row>
    <row r="10">
      <c r="A10" s="12" t="inlineStr">
        <is>
          <t>Betalningsvillkor</t>
        </is>
      </c>
      <c r="B10" t="inlineStr">
        <is>
          <t>30 dagar netto</t>
        </is>
      </c>
      <c r="C10" s="23" t="inlineStr">
        <is>
          <t>Efter godkänd UC</t>
        </is>
      </c>
    </row>
    <row r="11">
      <c r="A11" s="12" t="inlineStr">
        <is>
          <t>Bekräftelse-tid</t>
        </is>
      </c>
      <c r="B11" t="inlineStr">
        <is>
          <t>Räcker med några dagar</t>
        </is>
      </c>
      <c r="C11" s="23" t="inlineStr"/>
    </row>
    <row r="12">
      <c r="A12" s="22" t="inlineStr"/>
      <c r="B12" t="inlineStr"/>
      <c r="C12" s="23" t="inlineStr"/>
    </row>
    <row r="13">
      <c r="A13" s="12" t="inlineStr">
        <is>
          <t>KONTAKT</t>
        </is>
      </c>
      <c r="B13" t="inlineStr">
        <is>
          <t>Erik Dahlström</t>
        </is>
      </c>
      <c r="C13" s="23" t="inlineStr">
        <is>
          <t>Sanifix AB</t>
        </is>
      </c>
    </row>
    <row r="14">
      <c r="A14" s="12" t="inlineStr">
        <is>
          <t>Telefon</t>
        </is>
      </c>
      <c r="B14" t="inlineStr">
        <is>
          <t>08-760 00 95 / 0708-204242</t>
        </is>
      </c>
      <c r="C14" s="23" t="inlineStr"/>
    </row>
    <row r="15">
      <c r="A15" s="12" t="inlineStr">
        <is>
          <t>Email</t>
        </is>
      </c>
      <c r="B15" t="inlineStr">
        <is>
          <t>erik@sanifix.se</t>
        </is>
      </c>
      <c r="C15" s="23" t="inlineStr"/>
    </row>
    <row r="16">
      <c r="A16" s="12" t="inlineStr">
        <is>
          <t>Web</t>
        </is>
      </c>
      <c r="B16" t="inlineStr">
        <is>
          <t>www.sanifix.se</t>
        </is>
      </c>
      <c r="C16" s="23" t="inlineStr"/>
    </row>
    <row r="17">
      <c r="A17" s="22" t="inlineStr"/>
      <c r="B17" t="inlineStr"/>
      <c r="C17" s="23" t="inlineStr"/>
    </row>
    <row r="18">
      <c r="A18" s="12" t="inlineStr">
        <is>
          <t>SCENARIO i mail</t>
        </is>
      </c>
      <c r="B18" t="inlineStr">
        <is>
          <t>Löjviksvägen 46Q, Vaxholm</t>
        </is>
      </c>
      <c r="C18" s="23" t="inlineStr">
        <is>
          <t>kräftskiva 40-50 pers + renovering</t>
        </is>
      </c>
    </row>
    <row r="19">
      <c r="A19" s="12" t="inlineStr">
        <is>
          <t>Ursprunglig fråga</t>
        </is>
      </c>
      <c r="B19" t="inlineStr">
        <is>
          <t>1-2 toaletter (herr+dam)</t>
        </is>
      </c>
      <c r="C19" s="23" t="inlineStr">
        <is>
          <t>Slutet av aug + renovering ca slutet sept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9" customWidth="1" min="3" max="3"/>
    <col width="10" customWidth="1" min="4" max="4"/>
    <col width="22" customWidth="1" min="5" max="5"/>
    <col width="26" customWidth="1" min="6" max="6"/>
    <col width="14" customWidth="1" min="7" max="7"/>
  </cols>
  <sheetData>
    <row r="1">
      <c r="A1" s="21" t="inlineStr">
        <is>
          <t>🎯  Scenarier från mail-konversationen</t>
        </is>
      </c>
    </row>
    <row r="3">
      <c r="A3" s="24" t="inlineStr">
        <is>
          <t>Scenario</t>
        </is>
      </c>
      <c r="B3" s="24" t="inlineStr">
        <is>
          <t>Antal toa</t>
        </is>
      </c>
      <c r="C3" s="24" t="inlineStr">
        <is>
          <t>Dagar</t>
        </is>
      </c>
      <c r="D3" s="24" t="inlineStr">
        <is>
          <t>Service</t>
        </is>
      </c>
      <c r="E3" s="24" t="inlineStr">
        <is>
          <t>Sanifix (inkl. moms)</t>
        </is>
      </c>
      <c r="F3" s="24" t="inlineStr">
        <is>
          <t>Kiosh Standard (inkl. moms)</t>
        </is>
      </c>
      <c r="G3" s="24" t="inlineStr">
        <is>
          <t>Diff</t>
        </is>
      </c>
    </row>
    <row r="4">
      <c r="A4" s="8" t="inlineStr">
        <is>
          <t>Kräftskiva (helg, 2 toa)</t>
        </is>
      </c>
      <c r="B4" s="8" t="n">
        <v>2</v>
      </c>
      <c r="C4" s="8" t="n">
        <v>2</v>
      </c>
      <c r="D4" s="8" t="n">
        <v>0</v>
      </c>
      <c r="E4" s="11">
        <f>(B4*3896 + IF(C4&gt;4, (C4-4)*50*B4, 0) + D4*1948)*1.25</f>
        <v/>
      </c>
      <c r="F4" s="11">
        <f>(B4*C4*900 + 150)*1.25</f>
        <v/>
      </c>
      <c r="G4" s="11">
        <f>F4-E4</f>
        <v/>
      </c>
    </row>
    <row r="5">
      <c r="A5" s="8" t="inlineStr">
        <is>
          <t>Kräftskiva (helg, 1 toa)</t>
        </is>
      </c>
      <c r="B5" s="8" t="n">
        <v>1</v>
      </c>
      <c r="C5" s="8" t="n">
        <v>2</v>
      </c>
      <c r="D5" s="8" t="n">
        <v>0</v>
      </c>
      <c r="E5" s="11">
        <f>(B5*3896 + IF(C5&gt;4, (C5-4)*50*B5, 0) + D5*1948)*1.25</f>
        <v/>
      </c>
      <c r="F5" s="11">
        <f>(B5*C5*900 + 150)*1.25</f>
        <v/>
      </c>
      <c r="G5" s="11">
        <f>F5-E5</f>
        <v/>
      </c>
    </row>
    <row r="6">
      <c r="A6" s="8" t="inlineStr">
        <is>
          <t>Renovering tom slutet sept (30 dgr, 1 service)</t>
        </is>
      </c>
      <c r="B6" s="8" t="n">
        <v>1</v>
      </c>
      <c r="C6" s="8" t="n">
        <v>30</v>
      </c>
      <c r="D6" s="8" t="n">
        <v>1</v>
      </c>
      <c r="E6" s="11">
        <f>(B6*3896 + IF(C6&gt;4, (C6-4)*50*B6, 0) + D6*1948)*1.25</f>
        <v/>
      </c>
      <c r="F6" s="11">
        <f>(B6*C6*900 + 150)*1.25</f>
        <v/>
      </c>
      <c r="G6" s="11">
        <f>F6-E6</f>
        <v/>
      </c>
    </row>
    <row r="7">
      <c r="A7" s="8" t="inlineStr">
        <is>
          <t>Renovering tom slutet sept (30 dgr, 2 service)</t>
        </is>
      </c>
      <c r="B7" s="8" t="n">
        <v>1</v>
      </c>
      <c r="C7" s="8" t="n">
        <v>30</v>
      </c>
      <c r="D7" s="8" t="n">
        <v>2</v>
      </c>
      <c r="E7" s="11">
        <f>(B7*3896 + IF(C7&gt;4, (C7-4)*50*B7, 0) + D7*1948)*1.25</f>
        <v/>
      </c>
      <c r="F7" s="11">
        <f>(B7*C7*900 + 150)*1.25</f>
        <v/>
      </c>
      <c r="G7" s="11">
        <f>F7-E7</f>
        <v/>
      </c>
    </row>
    <row r="8">
      <c r="A8" s="8" t="inlineStr">
        <is>
          <t>Kräftskiva 4 dgr (1 toa)</t>
        </is>
      </c>
      <c r="B8" s="8" t="n">
        <v>1</v>
      </c>
      <c r="C8" s="8" t="n">
        <v>4</v>
      </c>
      <c r="D8" s="8" t="n">
        <v>0</v>
      </c>
      <c r="E8" s="11">
        <f>(B8*3896 + IF(C8&gt;4, (C8-4)*50*B8, 0) + D8*1948)*1.25</f>
        <v/>
      </c>
      <c r="F8" s="11">
        <f>(B8*C8*900 + 150)*1.25</f>
        <v/>
      </c>
      <c r="G8" s="11">
        <f>F8-E8</f>
        <v/>
      </c>
    </row>
    <row r="9">
      <c r="A9" s="8" t="inlineStr">
        <is>
          <t>Långhyra 60 dgr 4 service</t>
        </is>
      </c>
      <c r="B9" s="8" t="n">
        <v>1</v>
      </c>
      <c r="C9" s="8" t="n">
        <v>60</v>
      </c>
      <c r="D9" s="8" t="n">
        <v>4</v>
      </c>
      <c r="E9" s="11">
        <f>(B9*3896 + IF(C9&gt;4, (C9-4)*50*B9, 0) + D9*1948)*1.25</f>
        <v/>
      </c>
      <c r="F9" s="11">
        <f>(B9*C9*900 + 150)*1.25</f>
        <v/>
      </c>
      <c r="G9" s="11">
        <f>F9-E9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2026-06-11T13:09:20Z</dcterms:created>
  <dcterms:modified xsi:type="dcterms:W3CDTF">2026-06-11T13:09:20Z</dcterms:modified>
</cp:coreProperties>
</file>