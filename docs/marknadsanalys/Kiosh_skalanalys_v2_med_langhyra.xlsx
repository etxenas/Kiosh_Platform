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ar" sheetId="1" state="visible" r:id="rId1"/>
    <sheet name="Skala Standard" sheetId="2" state="visible" r:id="rId2"/>
    <sheet name="Pris per dag" sheetId="3" state="visible" r:id="rId3"/>
    <sheet name="Mixad portfölj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r&quot;"/>
  </numFmts>
  <fonts count="11">
    <font>
      <name val="Calibri"/>
      <family val="2"/>
      <color theme="1"/>
      <sz val="11"/>
      <scheme val="minor"/>
    </font>
    <font>
      <b val="1"/>
      <color rgb="002D9C4A"/>
      <sz val="16"/>
    </font>
    <font>
      <i val="1"/>
      <color rgb="00666666"/>
    </font>
    <font>
      <b val="1"/>
      <color rgb="00FFFFFF"/>
      <sz val="12"/>
    </font>
    <font>
      <b val="1"/>
    </font>
    <font>
      <b val="1"/>
      <sz val="11"/>
    </font>
    <font>
      <i val="1"/>
      <color rgb="00666666"/>
      <sz val="9"/>
    </font>
    <font>
      <i val="1"/>
      <color rgb="00666666"/>
      <sz val="10"/>
    </font>
    <font>
      <b val="1"/>
      <color rgb="002D9C4A"/>
      <sz val="14"/>
    </font>
    <font>
      <b val="1"/>
      <sz val="12"/>
    </font>
    <font>
      <b val="1"/>
      <color rgb="002D9C4A"/>
      <sz val="12"/>
    </font>
  </fonts>
  <fills count="6">
    <fill>
      <patternFill/>
    </fill>
    <fill>
      <patternFill patternType="gray125"/>
    </fill>
    <fill>
      <patternFill patternType="solid">
        <fgColor rgb="002D9C4A"/>
        <bgColor rgb="002D9C4A"/>
      </patternFill>
    </fill>
    <fill>
      <patternFill patternType="solid">
        <fgColor rgb="00FFF8DC"/>
        <bgColor rgb="00FFF8DC"/>
      </patternFill>
    </fill>
    <fill>
      <patternFill patternType="solid">
        <fgColor rgb="00555555"/>
        <bgColor rgb="00555555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9" fontId="5" fillId="3" borderId="1" applyAlignment="1" pivotButton="0" quotePrefix="0" xfId="0">
      <alignment horizontal="center"/>
    </xf>
    <xf numFmtId="0" fontId="7" fillId="0" borderId="0" pivotButton="0" quotePrefix="0" xfId="0"/>
    <xf numFmtId="0" fontId="3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4" fillId="5" borderId="1" pivotButton="0" quotePrefix="0" xfId="0"/>
    <xf numFmtId="0" fontId="8" fillId="0" borderId="0" applyAlignment="1" pivotButton="0" quotePrefix="0" xfId="0">
      <alignment horizontal="center"/>
    </xf>
    <xf numFmtId="0" fontId="0" fillId="0" borderId="1" pivotButton="0" quotePrefix="0" xfId="0"/>
    <xf numFmtId="164" fontId="4" fillId="0" borderId="1" pivotButton="0" quotePrefix="0" xfId="0"/>
    <xf numFmtId="164" fontId="4" fillId="5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9" fillId="0" borderId="0" pivotButton="0" quotePrefix="0" xfId="0"/>
    <xf numFmtId="164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</cols>
  <sheetData>
    <row r="1" ht="30" customHeight="1">
      <c r="A1" s="1" t="inlineStr">
        <is>
          <t>🚽  Kiosh — Skalanalys 10/30/50 toaletter (v2 med långhyra-rabatt)</t>
        </is>
      </c>
    </row>
    <row r="2">
      <c r="A2" s="2" t="inlineStr">
        <is>
          <t>Kiosh nu prismässigt IDENTISK med Sanifix Holken. Premium/HCP/Lyx behåller egna priser.</t>
        </is>
      </c>
    </row>
    <row r="4">
      <c r="A4" s="3" t="inlineStr">
        <is>
          <t>💰  KIOSH-PRISER (uppdaterade 2026-06-11)</t>
        </is>
      </c>
      <c r="B4" s="4" t="n"/>
      <c r="C4" s="4" t="n"/>
      <c r="D4" s="4" t="n"/>
      <c r="E4" s="4" t="n"/>
      <c r="F4" s="5" t="n"/>
    </row>
    <row r="5">
      <c r="A5" s="6" t="inlineStr">
        <is>
          <t>Standardtoalett — full pris dag 1-4 (kr/dag/st)</t>
        </is>
      </c>
      <c r="B5" s="7" t="n">
        <v>974</v>
      </c>
      <c r="C5" s="8">
        <f> 3896 kr (Sanifix Holken) ÷ 4 dgr</f>
        <v/>
      </c>
    </row>
    <row r="6">
      <c r="A6" s="6" t="inlineStr">
        <is>
          <t>Standardtoalett — långhyra-rabatt dag 5+ (kr/dag/st)</t>
        </is>
      </c>
      <c r="B6" s="7" t="n">
        <v>50</v>
      </c>
      <c r="C6" s="8" t="inlineStr">
        <is>
          <t>Matchar Sanifix</t>
        </is>
      </c>
    </row>
    <row r="7">
      <c r="A7" s="6" t="inlineStr">
        <is>
          <t>Premiumtoalett — full pris dag 1-4 (kr/dag/st)</t>
        </is>
      </c>
      <c r="B7" s="7" t="n">
        <v>1500</v>
      </c>
      <c r="C7" s="8" t="inlineStr">
        <is>
          <t>Egen modell</t>
        </is>
      </c>
    </row>
    <row r="8">
      <c r="A8" s="6" t="inlineStr">
        <is>
          <t>Handikapptoalett — full pris dag 1-4 (kr/dag/st)</t>
        </is>
      </c>
      <c r="B8" s="7" t="n">
        <v>1800</v>
      </c>
      <c r="C8" s="8" t="inlineStr">
        <is>
          <t>Egen modell</t>
        </is>
      </c>
    </row>
    <row r="9">
      <c r="A9" s="6" t="inlineStr">
        <is>
          <t>Lyxtoalett — full pris dag 1-4 (kr/dag/st)</t>
        </is>
      </c>
      <c r="B9" s="7" t="n">
        <v>2500</v>
      </c>
      <c r="C9" s="8" t="inlineStr">
        <is>
          <t>Egen modell</t>
        </is>
      </c>
    </row>
    <row r="10">
      <c r="A10" s="6" t="inlineStr">
        <is>
          <t>Extra service / städning (kr/tillfälle)</t>
        </is>
      </c>
      <c r="B10" s="7" t="n">
        <v>1948</v>
      </c>
      <c r="C10" s="8" t="inlineStr">
        <is>
          <t>Matchar Sanifix</t>
        </is>
      </c>
    </row>
    <row r="11">
      <c r="A11" s="6" t="inlineStr">
        <is>
          <t>Leveransavgift Stockholm (kr)</t>
        </is>
      </c>
      <c r="B11" s="7" t="n">
        <v>150</v>
      </c>
      <c r="C11" s="8" t="inlineStr">
        <is>
          <t>BaseDeliveryFee Stockholm Norr</t>
        </is>
      </c>
    </row>
    <row r="12">
      <c r="A12" s="6" t="inlineStr">
        <is>
          <t>Moms</t>
        </is>
      </c>
      <c r="B12" s="9" t="n">
        <v>0.25</v>
      </c>
      <c r="C12" s="8" t="inlineStr">
        <is>
          <t>25%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8" customWidth="1" min="5" max="5"/>
    <col width="16" customWidth="1" min="6" max="6"/>
    <col width="12" customWidth="1" min="7" max="7"/>
    <col width="18" customWidth="1" min="8" max="8"/>
    <col width="20" customWidth="1" min="9" max="9"/>
  </cols>
  <sheetData>
    <row r="1" ht="30" customHeight="1">
      <c r="A1" s="1" t="inlineStr">
        <is>
          <t>🎯  Skala — 10 / 30 / 50 STANDARDtoaletter över olika hyrtider</t>
        </is>
      </c>
    </row>
    <row r="2">
      <c r="A2" s="10" t="inlineStr">
        <is>
          <t>Eftersom Kiosh nu matchar Sanifix-modellen blir priset IDENTISKT för Standard. Skillnad = 0.</t>
        </is>
      </c>
    </row>
    <row r="4" ht="45" customHeight="1">
      <c r="A4" s="3" t="inlineStr">
        <is>
          <t>Antal toa</t>
        </is>
      </c>
      <c r="B4" s="3" t="inlineStr">
        <is>
          <t>Hyrtid (dgr)</t>
        </is>
      </c>
      <c r="C4" s="3" t="inlineStr">
        <is>
          <t>Service-tillfällen</t>
        </is>
      </c>
      <c r="D4" s="3" t="inlineStr">
        <is>
          <t>Dag 1-4 (full pris)</t>
        </is>
      </c>
      <c r="E4" s="3" t="inlineStr">
        <is>
          <t>Dag 5+ (50 kr/dag)</t>
        </is>
      </c>
      <c r="F4" s="3" t="inlineStr">
        <is>
          <t>Service-kostnad</t>
        </is>
      </c>
      <c r="G4" s="3" t="inlineStr">
        <is>
          <t>Leverans</t>
        </is>
      </c>
      <c r="H4" s="3" t="inlineStr">
        <is>
          <t>Subtotal (ex moms)</t>
        </is>
      </c>
      <c r="I4" s="3" t="inlineStr">
        <is>
          <t>TOTALT inkl. moms</t>
        </is>
      </c>
    </row>
    <row r="5">
      <c r="A5" s="11" t="inlineStr">
        <is>
          <t>━━━  10 toaletter  ━━━</t>
        </is>
      </c>
    </row>
    <row r="6">
      <c r="A6" s="12" t="n">
        <v>10</v>
      </c>
      <c r="B6" s="12" t="n">
        <v>4</v>
      </c>
      <c r="C6" s="12" t="n">
        <v>0</v>
      </c>
      <c r="D6" s="13">
        <f>10*4*Parametrar!$B$5</f>
        <v/>
      </c>
      <c r="E6" s="13">
        <f>10*0*Parametrar!$B$6</f>
        <v/>
      </c>
      <c r="F6" s="13">
        <f>0*Parametrar!$B$10</f>
        <v/>
      </c>
      <c r="G6" s="13">
        <f>Parametrar!$B$11</f>
        <v/>
      </c>
      <c r="H6" s="13">
        <f>D6+E6+F6+G6</f>
        <v/>
      </c>
      <c r="I6" s="14">
        <f>H6*(1+Parametrar!$B$12)</f>
        <v/>
      </c>
    </row>
    <row r="7">
      <c r="A7" s="12" t="n">
        <v>10</v>
      </c>
      <c r="B7" s="12" t="n">
        <v>7</v>
      </c>
      <c r="C7" s="12" t="n">
        <v>0</v>
      </c>
      <c r="D7" s="13">
        <f>10*4*Parametrar!$B$5</f>
        <v/>
      </c>
      <c r="E7" s="13">
        <f>10*3*Parametrar!$B$6</f>
        <v/>
      </c>
      <c r="F7" s="13">
        <f>0*Parametrar!$B$10</f>
        <v/>
      </c>
      <c r="G7" s="13">
        <f>Parametrar!$B$11</f>
        <v/>
      </c>
      <c r="H7" s="13">
        <f>D7+E7+F7+G7</f>
        <v/>
      </c>
      <c r="I7" s="14">
        <f>H7*(1+Parametrar!$B$12)</f>
        <v/>
      </c>
    </row>
    <row r="8">
      <c r="A8" s="12" t="n">
        <v>10</v>
      </c>
      <c r="B8" s="12" t="n">
        <v>14</v>
      </c>
      <c r="C8" s="12" t="n">
        <v>1</v>
      </c>
      <c r="D8" s="13">
        <f>10*4*Parametrar!$B$5</f>
        <v/>
      </c>
      <c r="E8" s="13">
        <f>10*10*Parametrar!$B$6</f>
        <v/>
      </c>
      <c r="F8" s="13">
        <f>1*Parametrar!$B$10</f>
        <v/>
      </c>
      <c r="G8" s="13">
        <f>Parametrar!$B$11</f>
        <v/>
      </c>
      <c r="H8" s="13">
        <f>D8+E8+F8+G8</f>
        <v/>
      </c>
      <c r="I8" s="14">
        <f>H8*(1+Parametrar!$B$12)</f>
        <v/>
      </c>
    </row>
    <row r="9">
      <c r="A9" s="12" t="n">
        <v>10</v>
      </c>
      <c r="B9" s="12" t="n">
        <v>30</v>
      </c>
      <c r="C9" s="12" t="n">
        <v>3</v>
      </c>
      <c r="D9" s="13">
        <f>10*4*Parametrar!$B$5</f>
        <v/>
      </c>
      <c r="E9" s="13">
        <f>10*26*Parametrar!$B$6</f>
        <v/>
      </c>
      <c r="F9" s="13">
        <f>3*Parametrar!$B$10</f>
        <v/>
      </c>
      <c r="G9" s="13">
        <f>Parametrar!$B$11</f>
        <v/>
      </c>
      <c r="H9" s="13">
        <f>D9+E9+F9+G9</f>
        <v/>
      </c>
      <c r="I9" s="14">
        <f>H9*(1+Parametrar!$B$12)</f>
        <v/>
      </c>
    </row>
    <row r="10">
      <c r="A10" s="12" t="n">
        <v>10</v>
      </c>
      <c r="B10" s="12" t="n">
        <v>60</v>
      </c>
      <c r="C10" s="12" t="n">
        <v>5</v>
      </c>
      <c r="D10" s="13">
        <f>10*4*Parametrar!$B$5</f>
        <v/>
      </c>
      <c r="E10" s="13">
        <f>10*56*Parametrar!$B$6</f>
        <v/>
      </c>
      <c r="F10" s="13">
        <f>5*Parametrar!$B$10</f>
        <v/>
      </c>
      <c r="G10" s="13">
        <f>Parametrar!$B$11</f>
        <v/>
      </c>
      <c r="H10" s="13">
        <f>D10+E10+F10+G10</f>
        <v/>
      </c>
      <c r="I10" s="14">
        <f>H10*(1+Parametrar!$B$12)</f>
        <v/>
      </c>
    </row>
    <row r="11">
      <c r="A11" s="11" t="inlineStr">
        <is>
          <t>━━━  30 toaletter  ━━━</t>
        </is>
      </c>
    </row>
    <row r="12">
      <c r="A12" s="12" t="n">
        <v>30</v>
      </c>
      <c r="B12" s="12" t="n">
        <v>4</v>
      </c>
      <c r="C12" s="12" t="n">
        <v>0</v>
      </c>
      <c r="D12" s="13">
        <f>30*4*Parametrar!$B$5</f>
        <v/>
      </c>
      <c r="E12" s="13">
        <f>30*0*Parametrar!$B$6</f>
        <v/>
      </c>
      <c r="F12" s="13">
        <f>0*Parametrar!$B$10</f>
        <v/>
      </c>
      <c r="G12" s="13">
        <f>Parametrar!$B$11</f>
        <v/>
      </c>
      <c r="H12" s="13">
        <f>D12+E12+F12+G12</f>
        <v/>
      </c>
      <c r="I12" s="14">
        <f>H12*(1+Parametrar!$B$12)</f>
        <v/>
      </c>
    </row>
    <row r="13">
      <c r="A13" s="12" t="n">
        <v>30</v>
      </c>
      <c r="B13" s="12" t="n">
        <v>7</v>
      </c>
      <c r="C13" s="12" t="n">
        <v>0</v>
      </c>
      <c r="D13" s="13">
        <f>30*4*Parametrar!$B$5</f>
        <v/>
      </c>
      <c r="E13" s="13">
        <f>30*3*Parametrar!$B$6</f>
        <v/>
      </c>
      <c r="F13" s="13">
        <f>0*Parametrar!$B$10</f>
        <v/>
      </c>
      <c r="G13" s="13">
        <f>Parametrar!$B$11</f>
        <v/>
      </c>
      <c r="H13" s="13">
        <f>D13+E13+F13+G13</f>
        <v/>
      </c>
      <c r="I13" s="14">
        <f>H13*(1+Parametrar!$B$12)</f>
        <v/>
      </c>
    </row>
    <row r="14">
      <c r="A14" s="12" t="n">
        <v>30</v>
      </c>
      <c r="B14" s="12" t="n">
        <v>14</v>
      </c>
      <c r="C14" s="12" t="n">
        <v>1</v>
      </c>
      <c r="D14" s="13">
        <f>30*4*Parametrar!$B$5</f>
        <v/>
      </c>
      <c r="E14" s="13">
        <f>30*10*Parametrar!$B$6</f>
        <v/>
      </c>
      <c r="F14" s="13">
        <f>1*Parametrar!$B$10</f>
        <v/>
      </c>
      <c r="G14" s="13">
        <f>Parametrar!$B$11</f>
        <v/>
      </c>
      <c r="H14" s="13">
        <f>D14+E14+F14+G14</f>
        <v/>
      </c>
      <c r="I14" s="14">
        <f>H14*(1+Parametrar!$B$12)</f>
        <v/>
      </c>
    </row>
    <row r="15">
      <c r="A15" s="12" t="n">
        <v>30</v>
      </c>
      <c r="B15" s="12" t="n">
        <v>30</v>
      </c>
      <c r="C15" s="12" t="n">
        <v>3</v>
      </c>
      <c r="D15" s="13">
        <f>30*4*Parametrar!$B$5</f>
        <v/>
      </c>
      <c r="E15" s="13">
        <f>30*26*Parametrar!$B$6</f>
        <v/>
      </c>
      <c r="F15" s="13">
        <f>3*Parametrar!$B$10</f>
        <v/>
      </c>
      <c r="G15" s="13">
        <f>Parametrar!$B$11</f>
        <v/>
      </c>
      <c r="H15" s="13">
        <f>D15+E15+F15+G15</f>
        <v/>
      </c>
      <c r="I15" s="14">
        <f>H15*(1+Parametrar!$B$12)</f>
        <v/>
      </c>
    </row>
    <row r="16">
      <c r="A16" s="12" t="n">
        <v>30</v>
      </c>
      <c r="B16" s="12" t="n">
        <v>60</v>
      </c>
      <c r="C16" s="12" t="n">
        <v>5</v>
      </c>
      <c r="D16" s="13">
        <f>30*4*Parametrar!$B$5</f>
        <v/>
      </c>
      <c r="E16" s="13">
        <f>30*56*Parametrar!$B$6</f>
        <v/>
      </c>
      <c r="F16" s="13">
        <f>5*Parametrar!$B$10</f>
        <v/>
      </c>
      <c r="G16" s="13">
        <f>Parametrar!$B$11</f>
        <v/>
      </c>
      <c r="H16" s="13">
        <f>D16+E16+F16+G16</f>
        <v/>
      </c>
      <c r="I16" s="14">
        <f>H16*(1+Parametrar!$B$12)</f>
        <v/>
      </c>
    </row>
    <row r="17">
      <c r="A17" s="11" t="inlineStr">
        <is>
          <t>━━━  50 toaletter  ━━━</t>
        </is>
      </c>
    </row>
    <row r="18">
      <c r="A18" s="12" t="n">
        <v>50</v>
      </c>
      <c r="B18" s="12" t="n">
        <v>4</v>
      </c>
      <c r="C18" s="12" t="n">
        <v>0</v>
      </c>
      <c r="D18" s="13">
        <f>50*4*Parametrar!$B$5</f>
        <v/>
      </c>
      <c r="E18" s="13">
        <f>50*0*Parametrar!$B$6</f>
        <v/>
      </c>
      <c r="F18" s="13">
        <f>0*Parametrar!$B$10</f>
        <v/>
      </c>
      <c r="G18" s="13">
        <f>Parametrar!$B$11</f>
        <v/>
      </c>
      <c r="H18" s="13">
        <f>D18+E18+F18+G18</f>
        <v/>
      </c>
      <c r="I18" s="14">
        <f>H18*(1+Parametrar!$B$12)</f>
        <v/>
      </c>
    </row>
    <row r="19">
      <c r="A19" s="12" t="n">
        <v>50</v>
      </c>
      <c r="B19" s="12" t="n">
        <v>7</v>
      </c>
      <c r="C19" s="12" t="n">
        <v>0</v>
      </c>
      <c r="D19" s="13">
        <f>50*4*Parametrar!$B$5</f>
        <v/>
      </c>
      <c r="E19" s="13">
        <f>50*3*Parametrar!$B$6</f>
        <v/>
      </c>
      <c r="F19" s="13">
        <f>0*Parametrar!$B$10</f>
        <v/>
      </c>
      <c r="G19" s="13">
        <f>Parametrar!$B$11</f>
        <v/>
      </c>
      <c r="H19" s="13">
        <f>D19+E19+F19+G19</f>
        <v/>
      </c>
      <c r="I19" s="14">
        <f>H19*(1+Parametrar!$B$12)</f>
        <v/>
      </c>
    </row>
    <row r="20">
      <c r="A20" s="12" t="n">
        <v>50</v>
      </c>
      <c r="B20" s="12" t="n">
        <v>14</v>
      </c>
      <c r="C20" s="12" t="n">
        <v>1</v>
      </c>
      <c r="D20" s="13">
        <f>50*4*Parametrar!$B$5</f>
        <v/>
      </c>
      <c r="E20" s="13">
        <f>50*10*Parametrar!$B$6</f>
        <v/>
      </c>
      <c r="F20" s="13">
        <f>1*Parametrar!$B$10</f>
        <v/>
      </c>
      <c r="G20" s="13">
        <f>Parametrar!$B$11</f>
        <v/>
      </c>
      <c r="H20" s="13">
        <f>D20+E20+F20+G20</f>
        <v/>
      </c>
      <c r="I20" s="14">
        <f>H20*(1+Parametrar!$B$12)</f>
        <v/>
      </c>
    </row>
    <row r="21">
      <c r="A21" s="12" t="n">
        <v>50</v>
      </c>
      <c r="B21" s="12" t="n">
        <v>30</v>
      </c>
      <c r="C21" s="12" t="n">
        <v>3</v>
      </c>
      <c r="D21" s="13">
        <f>50*4*Parametrar!$B$5</f>
        <v/>
      </c>
      <c r="E21" s="13">
        <f>50*26*Parametrar!$B$6</f>
        <v/>
      </c>
      <c r="F21" s="13">
        <f>3*Parametrar!$B$10</f>
        <v/>
      </c>
      <c r="G21" s="13">
        <f>Parametrar!$B$11</f>
        <v/>
      </c>
      <c r="H21" s="13">
        <f>D21+E21+F21+G21</f>
        <v/>
      </c>
      <c r="I21" s="14">
        <f>H21*(1+Parametrar!$B$12)</f>
        <v/>
      </c>
    </row>
    <row r="22">
      <c r="A22" s="12" t="n">
        <v>50</v>
      </c>
      <c r="B22" s="12" t="n">
        <v>60</v>
      </c>
      <c r="C22" s="12" t="n">
        <v>5</v>
      </c>
      <c r="D22" s="13">
        <f>50*4*Parametrar!$B$5</f>
        <v/>
      </c>
      <c r="E22" s="13">
        <f>50*56*Parametrar!$B$6</f>
        <v/>
      </c>
      <c r="F22" s="13">
        <f>5*Parametrar!$B$10</f>
        <v/>
      </c>
      <c r="G22" s="13">
        <f>Parametrar!$B$11</f>
        <v/>
      </c>
      <c r="H22" s="13">
        <f>D22+E22+F22+G22</f>
        <v/>
      </c>
      <c r="I22" s="14">
        <f>H22*(1+Parametrar!$B$12)</f>
        <v/>
      </c>
    </row>
  </sheetData>
  <mergeCells count="5">
    <mergeCell ref="A2:I2"/>
    <mergeCell ref="A11:I11"/>
    <mergeCell ref="A5:I5"/>
    <mergeCell ref="A1:I1"/>
    <mergeCell ref="A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22" customWidth="1" min="4" max="4"/>
    <col width="22" customWidth="1" min="5" max="5"/>
  </cols>
  <sheetData>
    <row r="1">
      <c r="A1" s="15" t="inlineStr">
        <is>
          <t>📈  Effektivt dagspris per modul (totalt ÷ dagar)</t>
        </is>
      </c>
    </row>
    <row r="2">
      <c r="A2" s="10" t="inlineStr">
        <is>
          <t>Visar hur dagspriset sjunker över tid pga långhyra-rabatten. Identiskt mellan Kiosh &amp; Sanifix nu.</t>
        </is>
      </c>
    </row>
    <row r="4" ht="45" customHeight="1">
      <c r="A4" s="3" t="inlineStr">
        <is>
          <t>Hyrtid (dgr)</t>
        </is>
      </c>
      <c r="B4" s="3" t="inlineStr">
        <is>
          <t>Total (kr/modul) ex moms</t>
        </is>
      </c>
      <c r="C4" s="3" t="inlineStr">
        <is>
          <t>Effektivt kr/dag/modul</t>
        </is>
      </c>
      <c r="D4" s="3" t="inlineStr">
        <is>
          <t>kr/dag inkl. moms</t>
        </is>
      </c>
      <c r="E4" s="3" t="inlineStr">
        <is>
          <t>Status</t>
        </is>
      </c>
    </row>
    <row r="5">
      <c r="A5" s="12" t="n">
        <v>1</v>
      </c>
      <c r="B5" s="13">
        <f>1*Parametrar!$B$5+0*Parametrar!$B$6</f>
        <v/>
      </c>
      <c r="C5" s="13">
        <f>B5/1</f>
        <v/>
      </c>
      <c r="D5" s="13">
        <f>C5*(1+Parametrar!$B$12)</f>
        <v/>
      </c>
      <c r="E5" s="16">
        <f>IF(1&lt;=4, "Full pris", "Långhyra-rabatt aktiv")</f>
        <v/>
      </c>
    </row>
    <row r="6">
      <c r="A6" s="12" t="n">
        <v>2</v>
      </c>
      <c r="B6" s="13">
        <f>2*Parametrar!$B$5+0*Parametrar!$B$6</f>
        <v/>
      </c>
      <c r="C6" s="13">
        <f>B6/2</f>
        <v/>
      </c>
      <c r="D6" s="13">
        <f>C6*(1+Parametrar!$B$12)</f>
        <v/>
      </c>
      <c r="E6" s="16">
        <f>IF(2&lt;=4, "Full pris", "Långhyra-rabatt aktiv")</f>
        <v/>
      </c>
    </row>
    <row r="7">
      <c r="A7" s="12" t="n">
        <v>3</v>
      </c>
      <c r="B7" s="13">
        <f>3*Parametrar!$B$5+0*Parametrar!$B$6</f>
        <v/>
      </c>
      <c r="C7" s="13">
        <f>B7/3</f>
        <v/>
      </c>
      <c r="D7" s="13">
        <f>C7*(1+Parametrar!$B$12)</f>
        <v/>
      </c>
      <c r="E7" s="16">
        <f>IF(3&lt;=4, "Full pris", "Långhyra-rabatt aktiv")</f>
        <v/>
      </c>
    </row>
    <row r="8">
      <c r="A8" s="12" t="n">
        <v>4</v>
      </c>
      <c r="B8" s="13">
        <f>4*Parametrar!$B$5+0*Parametrar!$B$6</f>
        <v/>
      </c>
      <c r="C8" s="13">
        <f>B8/4</f>
        <v/>
      </c>
      <c r="D8" s="13">
        <f>C8*(1+Parametrar!$B$12)</f>
        <v/>
      </c>
      <c r="E8" s="16">
        <f>IF(4&lt;=4, "Full pris", "Långhyra-rabatt aktiv")</f>
        <v/>
      </c>
    </row>
    <row r="9">
      <c r="A9" s="12" t="n">
        <v>5</v>
      </c>
      <c r="B9" s="13">
        <f>4*Parametrar!$B$5+1*Parametrar!$B$6</f>
        <v/>
      </c>
      <c r="C9" s="13">
        <f>B9/5</f>
        <v/>
      </c>
      <c r="D9" s="13">
        <f>C9*(1+Parametrar!$B$12)</f>
        <v/>
      </c>
      <c r="E9" s="16">
        <f>IF(5&lt;=4, "Full pris", "Långhyra-rabatt aktiv")</f>
        <v/>
      </c>
    </row>
    <row r="10">
      <c r="A10" s="12" t="n">
        <v>7</v>
      </c>
      <c r="B10" s="13">
        <f>4*Parametrar!$B$5+3*Parametrar!$B$6</f>
        <v/>
      </c>
      <c r="C10" s="13">
        <f>B10/7</f>
        <v/>
      </c>
      <c r="D10" s="13">
        <f>C10*(1+Parametrar!$B$12)</f>
        <v/>
      </c>
      <c r="E10" s="16">
        <f>IF(7&lt;=4, "Full pris", "Långhyra-rabatt aktiv")</f>
        <v/>
      </c>
    </row>
    <row r="11">
      <c r="A11" s="12" t="n">
        <v>10</v>
      </c>
      <c r="B11" s="13">
        <f>4*Parametrar!$B$5+6*Parametrar!$B$6</f>
        <v/>
      </c>
      <c r="C11" s="13">
        <f>B11/10</f>
        <v/>
      </c>
      <c r="D11" s="13">
        <f>C11*(1+Parametrar!$B$12)</f>
        <v/>
      </c>
      <c r="E11" s="16">
        <f>IF(10&lt;=4, "Full pris", "Långhyra-rabatt aktiv")</f>
        <v/>
      </c>
    </row>
    <row r="12">
      <c r="A12" s="12" t="n">
        <v>14</v>
      </c>
      <c r="B12" s="13">
        <f>4*Parametrar!$B$5+10*Parametrar!$B$6</f>
        <v/>
      </c>
      <c r="C12" s="13">
        <f>B12/14</f>
        <v/>
      </c>
      <c r="D12" s="13">
        <f>C12*(1+Parametrar!$B$12)</f>
        <v/>
      </c>
      <c r="E12" s="16">
        <f>IF(14&lt;=4, "Full pris", "Långhyra-rabatt aktiv")</f>
        <v/>
      </c>
    </row>
    <row r="13">
      <c r="A13" s="12" t="n">
        <v>21</v>
      </c>
      <c r="B13" s="13">
        <f>4*Parametrar!$B$5+17*Parametrar!$B$6</f>
        <v/>
      </c>
      <c r="C13" s="13">
        <f>B13/21</f>
        <v/>
      </c>
      <c r="D13" s="13">
        <f>C13*(1+Parametrar!$B$12)</f>
        <v/>
      </c>
      <c r="E13" s="16">
        <f>IF(21&lt;=4, "Full pris", "Långhyra-rabatt aktiv")</f>
        <v/>
      </c>
    </row>
    <row r="14">
      <c r="A14" s="12" t="n">
        <v>30</v>
      </c>
      <c r="B14" s="13">
        <f>4*Parametrar!$B$5+26*Parametrar!$B$6</f>
        <v/>
      </c>
      <c r="C14" s="13">
        <f>B14/30</f>
        <v/>
      </c>
      <c r="D14" s="13">
        <f>C14*(1+Parametrar!$B$12)</f>
        <v/>
      </c>
      <c r="E14" s="16">
        <f>IF(30&lt;=4, "Full pris", "Långhyra-rabatt aktiv")</f>
        <v/>
      </c>
    </row>
    <row r="15">
      <c r="A15" s="12" t="n">
        <v>45</v>
      </c>
      <c r="B15" s="13">
        <f>4*Parametrar!$B$5+41*Parametrar!$B$6</f>
        <v/>
      </c>
      <c r="C15" s="13">
        <f>B15/45</f>
        <v/>
      </c>
      <c r="D15" s="13">
        <f>C15*(1+Parametrar!$B$12)</f>
        <v/>
      </c>
      <c r="E15" s="16">
        <f>IF(45&lt;=4, "Full pris", "Långhyra-rabatt aktiv")</f>
        <v/>
      </c>
    </row>
    <row r="16">
      <c r="A16" s="12" t="n">
        <v>60</v>
      </c>
      <c r="B16" s="13">
        <f>4*Parametrar!$B$5+56*Parametrar!$B$6</f>
        <v/>
      </c>
      <c r="C16" s="13">
        <f>B16/60</f>
        <v/>
      </c>
      <c r="D16" s="13">
        <f>C16*(1+Parametrar!$B$12)</f>
        <v/>
      </c>
      <c r="E16" s="16">
        <f>IF(60&lt;=4, "Full pris", "Långhyra-rabatt aktiv")</f>
        <v/>
      </c>
    </row>
    <row r="17">
      <c r="A17" s="12" t="n">
        <v>90</v>
      </c>
      <c r="B17" s="13">
        <f>4*Parametrar!$B$5+86*Parametrar!$B$6</f>
        <v/>
      </c>
      <c r="C17" s="13">
        <f>B17/90</f>
        <v/>
      </c>
      <c r="D17" s="13">
        <f>C17*(1+Parametrar!$B$12)</f>
        <v/>
      </c>
      <c r="E17" s="16">
        <f>IF(90&lt;=4, "Full pris", "Långhyra-rabatt aktiv")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</cols>
  <sheetData>
    <row r="1">
      <c r="A1" s="15" t="inlineStr">
        <is>
          <t>🎨  Mixad portfölj — t.ex. Stockholm-evenemang</t>
        </is>
      </c>
    </row>
    <row r="2">
      <c r="A2" s="10" t="inlineStr">
        <is>
          <t>Justera antal av varje modell + hyrtid → totalpriset uppdateras med långhyra-rabatten.</t>
        </is>
      </c>
    </row>
    <row r="4">
      <c r="A4" s="3" t="inlineStr">
        <is>
          <t>Modell</t>
        </is>
      </c>
      <c r="B4" s="3" t="inlineStr">
        <is>
          <t>Antal</t>
        </is>
      </c>
      <c r="C4" s="3" t="inlineStr">
        <is>
          <t>Pris/dag dag 1-4</t>
        </is>
      </c>
      <c r="D4" s="3" t="inlineStr">
        <is>
          <t>Pris/dag dag 5+</t>
        </is>
      </c>
      <c r="E4" s="3" t="inlineStr">
        <is>
          <t>Dag 1-4 total</t>
        </is>
      </c>
      <c r="F4" s="3" t="inlineStr">
        <is>
          <t>Dag 5+ total</t>
        </is>
      </c>
      <c r="G4" s="3" t="inlineStr">
        <is>
          <t>Subtotal modul</t>
        </is>
      </c>
    </row>
    <row r="5">
      <c r="A5" s="16" t="inlineStr">
        <is>
          <t>Standardtoalett</t>
        </is>
      </c>
      <c r="B5" s="7" t="n">
        <v>30</v>
      </c>
      <c r="C5" s="13">
        <f>Parametrar!$B$5</f>
        <v/>
      </c>
      <c r="D5" s="13" t="n">
        <v>50</v>
      </c>
      <c r="E5" s="13">
        <f>B5*MIN($B$14,4)*C5</f>
        <v/>
      </c>
      <c r="F5" s="13">
        <f>B5*MAX($B$14-4,0)*D5</f>
        <v/>
      </c>
      <c r="G5" s="17">
        <f>E5+F5</f>
        <v/>
      </c>
    </row>
    <row r="6">
      <c r="A6" s="16" t="inlineStr">
        <is>
          <t>Premiumtoalett</t>
        </is>
      </c>
      <c r="B6" s="7" t="n">
        <v>10</v>
      </c>
      <c r="C6" s="13">
        <f>Parametrar!$B$7</f>
        <v/>
      </c>
      <c r="D6" s="13" t="n">
        <v>50</v>
      </c>
      <c r="E6" s="13">
        <f>B6*MIN($B$14,4)*C6</f>
        <v/>
      </c>
      <c r="F6" s="13">
        <f>B6*MAX($B$14-4,0)*D6</f>
        <v/>
      </c>
      <c r="G6" s="17">
        <f>E6+F6</f>
        <v/>
      </c>
    </row>
    <row r="7">
      <c r="A7" s="16" t="inlineStr">
        <is>
          <t>Handikapptoalett</t>
        </is>
      </c>
      <c r="B7" s="7" t="n">
        <v>8</v>
      </c>
      <c r="C7" s="13">
        <f>Parametrar!$B$8</f>
        <v/>
      </c>
      <c r="D7" s="13" t="n">
        <v>50</v>
      </c>
      <c r="E7" s="13">
        <f>B7*MIN($B$14,4)*C7</f>
        <v/>
      </c>
      <c r="F7" s="13">
        <f>B7*MAX($B$14-4,0)*D7</f>
        <v/>
      </c>
      <c r="G7" s="17">
        <f>E7+F7</f>
        <v/>
      </c>
    </row>
    <row r="8">
      <c r="A8" s="16" t="inlineStr">
        <is>
          <t>Lyxtoalett</t>
        </is>
      </c>
      <c r="B8" s="7" t="n">
        <v>2</v>
      </c>
      <c r="C8" s="13">
        <f>Parametrar!$B$9</f>
        <v/>
      </c>
      <c r="D8" s="13" t="n">
        <v>50</v>
      </c>
      <c r="E8" s="13">
        <f>B8*MIN($B$14,4)*C8</f>
        <v/>
      </c>
      <c r="F8" s="13">
        <f>B8*MAX($B$14-4,0)*D8</f>
        <v/>
      </c>
      <c r="G8" s="17">
        <f>E8+F8</f>
        <v/>
      </c>
    </row>
    <row r="10">
      <c r="A10" s="6" t="inlineStr">
        <is>
          <t>Total hyra (alla modeller)</t>
        </is>
      </c>
      <c r="G10" s="18">
        <f>SUM(G5:G8)</f>
        <v/>
      </c>
    </row>
    <row r="11">
      <c r="A11" t="inlineStr">
        <is>
          <t>Service-kostnad</t>
        </is>
      </c>
      <c r="G11" s="19">
        <f>B15*Parametrar!$B$10</f>
        <v/>
      </c>
    </row>
    <row r="12">
      <c r="A12" t="inlineStr">
        <is>
          <t>Leverans</t>
        </is>
      </c>
      <c r="G12" s="19">
        <f>Parametrar!$B$11</f>
        <v/>
      </c>
    </row>
    <row r="14">
      <c r="A14" s="6" t="inlineStr">
        <is>
          <t>Hyrtid (dgr)</t>
        </is>
      </c>
      <c r="B14" s="7" t="n">
        <v>7</v>
      </c>
    </row>
    <row r="15">
      <c r="A15" s="6" t="inlineStr">
        <is>
          <t>Antal service-tillfällen</t>
        </is>
      </c>
      <c r="B15" s="7" t="n">
        <v>0</v>
      </c>
    </row>
    <row r="17">
      <c r="A17" s="6" t="inlineStr">
        <is>
          <t>Subtotal ex moms</t>
        </is>
      </c>
      <c r="G17" s="20">
        <f>G10+G11+G12</f>
        <v/>
      </c>
    </row>
    <row r="18">
      <c r="A18" t="inlineStr">
        <is>
          <t>Moms 25%</t>
        </is>
      </c>
      <c r="G18" s="19">
        <f>G17*Parametrar!$B$12</f>
        <v/>
      </c>
    </row>
    <row r="19">
      <c r="A19" s="21" t="inlineStr">
        <is>
          <t>TOTALT inkl. moms</t>
        </is>
      </c>
      <c r="G19" s="22">
        <f>G17+G18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2026-06-11T13:23:47Z</dcterms:created>
  <dcterms:modified xsi:type="dcterms:W3CDTF">2026-06-11T13:23:47Z</dcterms:modified>
</cp:coreProperties>
</file>