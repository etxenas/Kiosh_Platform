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ar" sheetId="1" state="visible" r:id="rId1"/>
    <sheet name="Skalanalys 10-30-50" sheetId="2" state="visible" r:id="rId2"/>
    <sheet name="Pris per dag (effektivt)" sheetId="3" state="visible" r:id="rId3"/>
    <sheet name="Mixad portföl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kr&quot;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2D9C4A"/>
      <sz val="16"/>
    </font>
    <font>
      <i val="1"/>
      <color rgb="00666666"/>
    </font>
    <font>
      <b val="1"/>
      <color rgb="00FFFFFF"/>
      <sz val="12"/>
    </font>
    <font>
      <b val="1"/>
      <sz val="11"/>
    </font>
    <font>
      <i val="1"/>
      <color rgb="00666666"/>
      <sz val="9"/>
    </font>
    <font>
      <i val="1"/>
      <color rgb="00666666"/>
      <sz val="10"/>
    </font>
    <font>
      <b val="1"/>
    </font>
    <font>
      <b val="1"/>
      <color rgb="00FFFFFF"/>
      <sz val="14"/>
    </font>
    <font>
      <b val="1"/>
      <color rgb="002D9C4A"/>
      <sz val="14"/>
    </font>
    <font>
      <b val="1"/>
      <sz val="12"/>
    </font>
    <font>
      <b val="1"/>
      <color rgb="002D9C4A"/>
      <sz val="12"/>
    </font>
    <font>
      <b val="1"/>
      <color rgb="00C0392B"/>
      <sz val="12"/>
    </font>
  </fonts>
  <fills count="9">
    <fill>
      <patternFill/>
    </fill>
    <fill>
      <patternFill patternType="gray125"/>
    </fill>
    <fill>
      <patternFill patternType="solid">
        <fgColor rgb="002D9C4A"/>
        <bgColor rgb="002D9C4A"/>
      </patternFill>
    </fill>
    <fill>
      <patternFill patternType="solid">
        <fgColor rgb="00FFF8DC"/>
        <bgColor rgb="00FFF8DC"/>
      </patternFill>
    </fill>
    <fill>
      <patternFill patternType="solid">
        <fgColor rgb="00FF6B35"/>
        <bgColor rgb="00FF6B35"/>
      </patternFill>
    </fill>
    <fill>
      <patternFill patternType="solid">
        <fgColor rgb="00555555"/>
        <bgColor rgb="00555555"/>
      </patternFill>
    </fill>
    <fill>
      <patternFill patternType="solid">
        <fgColor rgb="00E8F5E9"/>
        <bgColor rgb="00E8F5E9"/>
      </patternFill>
    </fill>
    <fill>
      <patternFill patternType="solid">
        <fgColor rgb="00FFE4E1"/>
        <bgColor rgb="00FFE4E1"/>
      </patternFill>
    </fill>
    <fill>
      <patternFill patternType="solid">
        <fgColor rgb="00333333"/>
        <bgColor rgb="0033333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9" fontId="4" fillId="3" borderId="1" applyAlignment="1" pivotButton="0" quotePrefix="0" xfId="0">
      <alignment horizontal="center"/>
    </xf>
    <xf numFmtId="0" fontId="6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7" fillId="6" borderId="1" pivotButton="0" quotePrefix="0" xfId="0"/>
    <xf numFmtId="164" fontId="7" fillId="7" borderId="1" pivotButton="0" quotePrefix="0" xfId="0"/>
    <xf numFmtId="0" fontId="8" fillId="8" borderId="0" applyAlignment="1" pivotButton="0" quotePrefix="0" xfId="0">
      <alignment horizontal="center"/>
    </xf>
    <xf numFmtId="164" fontId="7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164" fontId="7" fillId="6" borderId="0" pivotButton="0" quotePrefix="0" xfId="0"/>
    <xf numFmtId="164" fontId="0" fillId="0" borderId="0" pivotButton="0" quotePrefix="0" xfId="0"/>
    <xf numFmtId="164" fontId="7" fillId="0" borderId="0" pivotButton="0" quotePrefix="0" xfId="0"/>
    <xf numFmtId="0" fontId="10" fillId="0" borderId="0" pivotButton="0" quotePrefix="0" xfId="0"/>
    <xf numFmtId="164" fontId="11" fillId="6" borderId="0" pivotButton="0" quotePrefix="0" xfId="0"/>
    <xf numFmtId="0" fontId="3" fillId="4" borderId="0" applyAlignment="1" pivotButton="0" quotePrefix="0" xfId="0">
      <alignment horizontal="center"/>
    </xf>
    <xf numFmtId="164" fontId="12" fillId="7" borderId="0" pivotButton="0" quotePrefix="0" xfId="0"/>
    <xf numFmtId="164" fontId="10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5" customWidth="1" min="3" max="3"/>
  </cols>
  <sheetData>
    <row r="1" ht="30" customHeight="1">
      <c r="A1" s="1" t="inlineStr">
        <is>
          <t>🚽  Kiosh — Skalanalys 10 / 30 / 50 toa-moduler</t>
        </is>
      </c>
    </row>
    <row r="2">
      <c r="A2" s="2" t="inlineStr">
        <is>
          <t>Priser hämtas från Salesforce (Standard Price Book) — uppdatera här om du tweakar</t>
        </is>
      </c>
    </row>
    <row r="4">
      <c r="A4" s="3" t="inlineStr">
        <is>
          <t>💰  PRISER (ändra här → uppdaterar alla scenarier)</t>
        </is>
      </c>
      <c r="B4" s="4" t="n"/>
      <c r="C4" s="4" t="n"/>
      <c r="D4" s="4" t="n"/>
      <c r="E4" s="4" t="n"/>
      <c r="F4" s="5" t="n"/>
    </row>
    <row r="5">
      <c r="A5" t="inlineStr">
        <is>
          <t>Kiosh — Standardtoalett (kr/dag)</t>
        </is>
      </c>
      <c r="B5" s="6" t="n">
        <v>974</v>
      </c>
      <c r="C5" s="7">
        <f> SF Standard Price Book 2026-06-11</f>
        <v/>
      </c>
    </row>
    <row r="6">
      <c r="A6" t="inlineStr">
        <is>
          <t>Kiosh — Premiumtoalett (kr/dag)</t>
        </is>
      </c>
      <c r="B6" s="6" t="n">
        <v>1500</v>
      </c>
    </row>
    <row r="7">
      <c r="A7" t="inlineStr">
        <is>
          <t>Kiosh — Handikapptoalett (kr/dag)</t>
        </is>
      </c>
      <c r="B7" s="6" t="n">
        <v>1800</v>
      </c>
    </row>
    <row r="8">
      <c r="A8" t="inlineStr">
        <is>
          <t>Kiosh — Lyxtoalett (kr/dag)</t>
        </is>
      </c>
      <c r="B8" s="6" t="n">
        <v>2500</v>
      </c>
    </row>
    <row r="9">
      <c r="A9" t="inlineStr">
        <is>
          <t>Kiosh — Extrastädning (kr/tillfälle)</t>
        </is>
      </c>
      <c r="B9" s="6" t="n">
        <v>1948</v>
      </c>
    </row>
    <row r="10">
      <c r="A10" t="inlineStr">
        <is>
          <t>Kiosh — Leveransavgift (Stockholm)</t>
        </is>
      </c>
      <c r="B10" s="6" t="n">
        <v>150</v>
      </c>
    </row>
    <row r="12">
      <c r="A12" t="inlineStr">
        <is>
          <t>Sanifix Holken — Grundpris 1-4 dgr (kr/st)</t>
        </is>
      </c>
      <c r="B12" s="6" t="n">
        <v>3896</v>
      </c>
    </row>
    <row r="13">
      <c r="A13" t="inlineStr">
        <is>
          <t>Sanifix — Tilläggspris dag 5+ (kr/st/dag)</t>
        </is>
      </c>
      <c r="B13" s="6" t="n">
        <v>50</v>
      </c>
    </row>
    <row r="14">
      <c r="A14" t="inlineStr">
        <is>
          <t>Sanifix — Extra service (kr/tillfälle)</t>
        </is>
      </c>
      <c r="B14" s="6" t="n">
        <v>1948</v>
      </c>
    </row>
    <row r="16">
      <c r="A16" t="inlineStr">
        <is>
          <t>Moms</t>
        </is>
      </c>
      <c r="B16" s="8" t="n">
        <v>0.25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8" customWidth="1" min="4" max="4"/>
    <col width="18" customWidth="1" min="5" max="5"/>
    <col width="14" customWidth="1" min="6" max="6"/>
    <col width="22" customWidth="1" min="7" max="7"/>
    <col width="18" customWidth="1" min="8" max="8"/>
    <col width="18" customWidth="1" min="9" max="9"/>
    <col width="18" customWidth="1" min="10" max="10"/>
    <col width="22" customWidth="1" min="11" max="11"/>
  </cols>
  <sheetData>
    <row r="1" ht="30" customHeight="1">
      <c r="A1" s="1" t="inlineStr">
        <is>
          <t>🎯  Skala — 10 / 30 / 50 standardtoaletter över olika hyrtider</t>
        </is>
      </c>
    </row>
    <row r="2">
      <c r="A2" s="9" t="inlineStr">
        <is>
          <t>Alla priser inkl. moms 25%. Antaget: 1 service per 14 dagar för hyror &gt; 7 dgr (efter Sanifix-rekommendation).</t>
        </is>
      </c>
    </row>
    <row r="4" ht="45" customHeight="1">
      <c r="A4" s="3" t="inlineStr">
        <is>
          <t>Antal toa</t>
        </is>
      </c>
      <c r="B4" s="3" t="inlineStr">
        <is>
          <t>Hyrtid (dgr)</t>
        </is>
      </c>
      <c r="C4" s="3" t="inlineStr">
        <is>
          <t>Service-tillf.</t>
        </is>
      </c>
      <c r="D4" s="3" t="inlineStr">
        <is>
          <t>Kiosh: hyra (ex moms)</t>
        </is>
      </c>
      <c r="E4" s="3" t="inlineStr">
        <is>
          <t>Kiosh: service (ex moms)</t>
        </is>
      </c>
      <c r="F4" s="3" t="inlineStr">
        <is>
          <t>Kiosh: leverans</t>
        </is>
      </c>
      <c r="G4" s="3" t="inlineStr">
        <is>
          <t>Kiosh TOT (inkl moms)</t>
        </is>
      </c>
      <c r="H4" s="10" t="inlineStr">
        <is>
          <t>Sanifix grundpris</t>
        </is>
      </c>
      <c r="I4" s="10" t="inlineStr">
        <is>
          <t>Sanifix dag 5+ påslag</t>
        </is>
      </c>
      <c r="J4" s="10" t="inlineStr">
        <is>
          <t>Sanifix service</t>
        </is>
      </c>
      <c r="K4" s="10" t="inlineStr">
        <is>
          <t>Sanifix TOT (inkl moms)</t>
        </is>
      </c>
    </row>
    <row r="5">
      <c r="A5" s="11" t="inlineStr">
        <is>
          <t>━━━  10 toaletter  ━━━</t>
        </is>
      </c>
    </row>
    <row r="6">
      <c r="A6" s="12" t="n">
        <v>10</v>
      </c>
      <c r="B6" s="12" t="n">
        <v>4</v>
      </c>
      <c r="C6" s="12" t="n">
        <v>0</v>
      </c>
      <c r="D6" s="13">
        <f>10*4*Parametrar!$B$5</f>
        <v/>
      </c>
      <c r="E6" s="13">
        <f>0*Parametrar!$B$9</f>
        <v/>
      </c>
      <c r="F6" s="13">
        <f>Parametrar!$B$10</f>
        <v/>
      </c>
      <c r="G6" s="14">
        <f>(D6+E6+F6)*(1+Parametrar!$B$16)</f>
        <v/>
      </c>
      <c r="H6" s="13">
        <f>10*Parametrar!$B$12</f>
        <v/>
      </c>
      <c r="I6" s="13">
        <f>IF(4&gt;4, (4-4)*Parametrar!$B$13*10, 0)</f>
        <v/>
      </c>
      <c r="J6" s="13">
        <f>0*Parametrar!$B$14</f>
        <v/>
      </c>
      <c r="K6" s="15">
        <f>(H6+I6+J6)*(1+Parametrar!$B$16)</f>
        <v/>
      </c>
    </row>
    <row r="7">
      <c r="A7" s="12" t="n">
        <v>10</v>
      </c>
      <c r="B7" s="12" t="n">
        <v>7</v>
      </c>
      <c r="C7" s="12" t="n">
        <v>0</v>
      </c>
      <c r="D7" s="13">
        <f>10*7*Parametrar!$B$5</f>
        <v/>
      </c>
      <c r="E7" s="13">
        <f>0*Parametrar!$B$9</f>
        <v/>
      </c>
      <c r="F7" s="13">
        <f>Parametrar!$B$10</f>
        <v/>
      </c>
      <c r="G7" s="14">
        <f>(D7+E7+F7)*(1+Parametrar!$B$16)</f>
        <v/>
      </c>
      <c r="H7" s="13">
        <f>10*Parametrar!$B$12</f>
        <v/>
      </c>
      <c r="I7" s="13">
        <f>IF(7&gt;4, (7-4)*Parametrar!$B$13*10, 0)</f>
        <v/>
      </c>
      <c r="J7" s="13">
        <f>0*Parametrar!$B$14</f>
        <v/>
      </c>
      <c r="K7" s="15">
        <f>(H7+I7+J7)*(1+Parametrar!$B$16)</f>
        <v/>
      </c>
    </row>
    <row r="8">
      <c r="A8" s="12" t="n">
        <v>10</v>
      </c>
      <c r="B8" s="12" t="n">
        <v>14</v>
      </c>
      <c r="C8" s="12" t="n">
        <v>1</v>
      </c>
      <c r="D8" s="13">
        <f>10*14*Parametrar!$B$5</f>
        <v/>
      </c>
      <c r="E8" s="13">
        <f>1*Parametrar!$B$9</f>
        <v/>
      </c>
      <c r="F8" s="13">
        <f>Parametrar!$B$10</f>
        <v/>
      </c>
      <c r="G8" s="14">
        <f>(D8+E8+F8)*(1+Parametrar!$B$16)</f>
        <v/>
      </c>
      <c r="H8" s="13">
        <f>10*Parametrar!$B$12</f>
        <v/>
      </c>
      <c r="I8" s="13">
        <f>IF(14&gt;4, (14-4)*Parametrar!$B$13*10, 0)</f>
        <v/>
      </c>
      <c r="J8" s="13">
        <f>1*Parametrar!$B$14</f>
        <v/>
      </c>
      <c r="K8" s="15">
        <f>(H8+I8+J8)*(1+Parametrar!$B$16)</f>
        <v/>
      </c>
    </row>
    <row r="9">
      <c r="A9" s="12" t="n">
        <v>10</v>
      </c>
      <c r="B9" s="12" t="n">
        <v>30</v>
      </c>
      <c r="C9" s="12" t="n">
        <v>3</v>
      </c>
      <c r="D9" s="13">
        <f>10*30*Parametrar!$B$5</f>
        <v/>
      </c>
      <c r="E9" s="13">
        <f>3*Parametrar!$B$9</f>
        <v/>
      </c>
      <c r="F9" s="13">
        <f>Parametrar!$B$10</f>
        <v/>
      </c>
      <c r="G9" s="14">
        <f>(D9+E9+F9)*(1+Parametrar!$B$16)</f>
        <v/>
      </c>
      <c r="H9" s="13">
        <f>10*Parametrar!$B$12</f>
        <v/>
      </c>
      <c r="I9" s="13">
        <f>IF(30&gt;4, (30-4)*Parametrar!$B$13*10, 0)</f>
        <v/>
      </c>
      <c r="J9" s="13">
        <f>3*Parametrar!$B$14</f>
        <v/>
      </c>
      <c r="K9" s="15">
        <f>(H9+I9+J9)*(1+Parametrar!$B$16)</f>
        <v/>
      </c>
    </row>
    <row r="10">
      <c r="A10" s="12" t="n">
        <v>10</v>
      </c>
      <c r="B10" s="12" t="n">
        <v>60</v>
      </c>
      <c r="C10" s="12" t="n">
        <v>5</v>
      </c>
      <c r="D10" s="13">
        <f>10*60*Parametrar!$B$5</f>
        <v/>
      </c>
      <c r="E10" s="13">
        <f>5*Parametrar!$B$9</f>
        <v/>
      </c>
      <c r="F10" s="13">
        <f>Parametrar!$B$10</f>
        <v/>
      </c>
      <c r="G10" s="14">
        <f>(D10+E10+F10)*(1+Parametrar!$B$16)</f>
        <v/>
      </c>
      <c r="H10" s="13">
        <f>10*Parametrar!$B$12</f>
        <v/>
      </c>
      <c r="I10" s="13">
        <f>IF(60&gt;4, (60-4)*Parametrar!$B$13*10, 0)</f>
        <v/>
      </c>
      <c r="J10" s="13">
        <f>5*Parametrar!$B$14</f>
        <v/>
      </c>
      <c r="K10" s="15">
        <f>(H10+I10+J10)*(1+Parametrar!$B$16)</f>
        <v/>
      </c>
    </row>
    <row r="11">
      <c r="A11" s="11" t="inlineStr">
        <is>
          <t>━━━  30 toaletter  ━━━</t>
        </is>
      </c>
    </row>
    <row r="12">
      <c r="A12" s="12" t="n">
        <v>30</v>
      </c>
      <c r="B12" s="12" t="n">
        <v>4</v>
      </c>
      <c r="C12" s="12" t="n">
        <v>0</v>
      </c>
      <c r="D12" s="13">
        <f>30*4*Parametrar!$B$5</f>
        <v/>
      </c>
      <c r="E12" s="13">
        <f>0*Parametrar!$B$9</f>
        <v/>
      </c>
      <c r="F12" s="13">
        <f>Parametrar!$B$10</f>
        <v/>
      </c>
      <c r="G12" s="14">
        <f>(D12+E12+F12)*(1+Parametrar!$B$16)</f>
        <v/>
      </c>
      <c r="H12" s="13">
        <f>30*Parametrar!$B$12</f>
        <v/>
      </c>
      <c r="I12" s="13">
        <f>IF(4&gt;4, (4-4)*Parametrar!$B$13*30, 0)</f>
        <v/>
      </c>
      <c r="J12" s="13">
        <f>0*Parametrar!$B$14</f>
        <v/>
      </c>
      <c r="K12" s="15">
        <f>(H12+I12+J12)*(1+Parametrar!$B$16)</f>
        <v/>
      </c>
    </row>
    <row r="13">
      <c r="A13" s="12" t="n">
        <v>30</v>
      </c>
      <c r="B13" s="12" t="n">
        <v>7</v>
      </c>
      <c r="C13" s="12" t="n">
        <v>0</v>
      </c>
      <c r="D13" s="13">
        <f>30*7*Parametrar!$B$5</f>
        <v/>
      </c>
      <c r="E13" s="13">
        <f>0*Parametrar!$B$9</f>
        <v/>
      </c>
      <c r="F13" s="13">
        <f>Parametrar!$B$10</f>
        <v/>
      </c>
      <c r="G13" s="14">
        <f>(D13+E13+F13)*(1+Parametrar!$B$16)</f>
        <v/>
      </c>
      <c r="H13" s="13">
        <f>30*Parametrar!$B$12</f>
        <v/>
      </c>
      <c r="I13" s="13">
        <f>IF(7&gt;4, (7-4)*Parametrar!$B$13*30, 0)</f>
        <v/>
      </c>
      <c r="J13" s="13">
        <f>0*Parametrar!$B$14</f>
        <v/>
      </c>
      <c r="K13" s="15">
        <f>(H13+I13+J13)*(1+Parametrar!$B$16)</f>
        <v/>
      </c>
    </row>
    <row r="14">
      <c r="A14" s="12" t="n">
        <v>30</v>
      </c>
      <c r="B14" s="12" t="n">
        <v>14</v>
      </c>
      <c r="C14" s="12" t="n">
        <v>1</v>
      </c>
      <c r="D14" s="13">
        <f>30*14*Parametrar!$B$5</f>
        <v/>
      </c>
      <c r="E14" s="13">
        <f>1*Parametrar!$B$9</f>
        <v/>
      </c>
      <c r="F14" s="13">
        <f>Parametrar!$B$10</f>
        <v/>
      </c>
      <c r="G14" s="14">
        <f>(D14+E14+F14)*(1+Parametrar!$B$16)</f>
        <v/>
      </c>
      <c r="H14" s="13">
        <f>30*Parametrar!$B$12</f>
        <v/>
      </c>
      <c r="I14" s="13">
        <f>IF(14&gt;4, (14-4)*Parametrar!$B$13*30, 0)</f>
        <v/>
      </c>
      <c r="J14" s="13">
        <f>1*Parametrar!$B$14</f>
        <v/>
      </c>
      <c r="K14" s="15">
        <f>(H14+I14+J14)*(1+Parametrar!$B$16)</f>
        <v/>
      </c>
    </row>
    <row r="15">
      <c r="A15" s="12" t="n">
        <v>30</v>
      </c>
      <c r="B15" s="12" t="n">
        <v>30</v>
      </c>
      <c r="C15" s="12" t="n">
        <v>3</v>
      </c>
      <c r="D15" s="13">
        <f>30*30*Parametrar!$B$5</f>
        <v/>
      </c>
      <c r="E15" s="13">
        <f>3*Parametrar!$B$9</f>
        <v/>
      </c>
      <c r="F15" s="13">
        <f>Parametrar!$B$10</f>
        <v/>
      </c>
      <c r="G15" s="14">
        <f>(D15+E15+F15)*(1+Parametrar!$B$16)</f>
        <v/>
      </c>
      <c r="H15" s="13">
        <f>30*Parametrar!$B$12</f>
        <v/>
      </c>
      <c r="I15" s="13">
        <f>IF(30&gt;4, (30-4)*Parametrar!$B$13*30, 0)</f>
        <v/>
      </c>
      <c r="J15" s="13">
        <f>3*Parametrar!$B$14</f>
        <v/>
      </c>
      <c r="K15" s="15">
        <f>(H15+I15+J15)*(1+Parametrar!$B$16)</f>
        <v/>
      </c>
    </row>
    <row r="16">
      <c r="A16" s="12" t="n">
        <v>30</v>
      </c>
      <c r="B16" s="12" t="n">
        <v>60</v>
      </c>
      <c r="C16" s="12" t="n">
        <v>5</v>
      </c>
      <c r="D16" s="13">
        <f>30*60*Parametrar!$B$5</f>
        <v/>
      </c>
      <c r="E16" s="13">
        <f>5*Parametrar!$B$9</f>
        <v/>
      </c>
      <c r="F16" s="13">
        <f>Parametrar!$B$10</f>
        <v/>
      </c>
      <c r="G16" s="14">
        <f>(D16+E16+F16)*(1+Parametrar!$B$16)</f>
        <v/>
      </c>
      <c r="H16" s="13">
        <f>30*Parametrar!$B$12</f>
        <v/>
      </c>
      <c r="I16" s="13">
        <f>IF(60&gt;4, (60-4)*Parametrar!$B$13*30, 0)</f>
        <v/>
      </c>
      <c r="J16" s="13">
        <f>5*Parametrar!$B$14</f>
        <v/>
      </c>
      <c r="K16" s="15">
        <f>(H16+I16+J16)*(1+Parametrar!$B$16)</f>
        <v/>
      </c>
    </row>
    <row r="17">
      <c r="A17" s="11" t="inlineStr">
        <is>
          <t>━━━  50 toaletter  ━━━</t>
        </is>
      </c>
    </row>
    <row r="18">
      <c r="A18" s="12" t="n">
        <v>50</v>
      </c>
      <c r="B18" s="12" t="n">
        <v>4</v>
      </c>
      <c r="C18" s="12" t="n">
        <v>0</v>
      </c>
      <c r="D18" s="13">
        <f>50*4*Parametrar!$B$5</f>
        <v/>
      </c>
      <c r="E18" s="13">
        <f>0*Parametrar!$B$9</f>
        <v/>
      </c>
      <c r="F18" s="13">
        <f>Parametrar!$B$10</f>
        <v/>
      </c>
      <c r="G18" s="14">
        <f>(D18+E18+F18)*(1+Parametrar!$B$16)</f>
        <v/>
      </c>
      <c r="H18" s="13">
        <f>50*Parametrar!$B$12</f>
        <v/>
      </c>
      <c r="I18" s="13">
        <f>IF(4&gt;4, (4-4)*Parametrar!$B$13*50, 0)</f>
        <v/>
      </c>
      <c r="J18" s="13">
        <f>0*Parametrar!$B$14</f>
        <v/>
      </c>
      <c r="K18" s="15">
        <f>(H18+I18+J18)*(1+Parametrar!$B$16)</f>
        <v/>
      </c>
    </row>
    <row r="19">
      <c r="A19" s="12" t="n">
        <v>50</v>
      </c>
      <c r="B19" s="12" t="n">
        <v>7</v>
      </c>
      <c r="C19" s="12" t="n">
        <v>0</v>
      </c>
      <c r="D19" s="13">
        <f>50*7*Parametrar!$B$5</f>
        <v/>
      </c>
      <c r="E19" s="13">
        <f>0*Parametrar!$B$9</f>
        <v/>
      </c>
      <c r="F19" s="13">
        <f>Parametrar!$B$10</f>
        <v/>
      </c>
      <c r="G19" s="14">
        <f>(D19+E19+F19)*(1+Parametrar!$B$16)</f>
        <v/>
      </c>
      <c r="H19" s="13">
        <f>50*Parametrar!$B$12</f>
        <v/>
      </c>
      <c r="I19" s="13">
        <f>IF(7&gt;4, (7-4)*Parametrar!$B$13*50, 0)</f>
        <v/>
      </c>
      <c r="J19" s="13">
        <f>0*Parametrar!$B$14</f>
        <v/>
      </c>
      <c r="K19" s="15">
        <f>(H19+I19+J19)*(1+Parametrar!$B$16)</f>
        <v/>
      </c>
    </row>
    <row r="20">
      <c r="A20" s="12" t="n">
        <v>50</v>
      </c>
      <c r="B20" s="12" t="n">
        <v>14</v>
      </c>
      <c r="C20" s="12" t="n">
        <v>1</v>
      </c>
      <c r="D20" s="13">
        <f>50*14*Parametrar!$B$5</f>
        <v/>
      </c>
      <c r="E20" s="13">
        <f>1*Parametrar!$B$9</f>
        <v/>
      </c>
      <c r="F20" s="13">
        <f>Parametrar!$B$10</f>
        <v/>
      </c>
      <c r="G20" s="14">
        <f>(D20+E20+F20)*(1+Parametrar!$B$16)</f>
        <v/>
      </c>
      <c r="H20" s="13">
        <f>50*Parametrar!$B$12</f>
        <v/>
      </c>
      <c r="I20" s="13">
        <f>IF(14&gt;4, (14-4)*Parametrar!$B$13*50, 0)</f>
        <v/>
      </c>
      <c r="J20" s="13">
        <f>1*Parametrar!$B$14</f>
        <v/>
      </c>
      <c r="K20" s="15">
        <f>(H20+I20+J20)*(1+Parametrar!$B$16)</f>
        <v/>
      </c>
    </row>
    <row r="21">
      <c r="A21" s="12" t="n">
        <v>50</v>
      </c>
      <c r="B21" s="12" t="n">
        <v>30</v>
      </c>
      <c r="C21" s="12" t="n">
        <v>3</v>
      </c>
      <c r="D21" s="13">
        <f>50*30*Parametrar!$B$5</f>
        <v/>
      </c>
      <c r="E21" s="13">
        <f>3*Parametrar!$B$9</f>
        <v/>
      </c>
      <c r="F21" s="13">
        <f>Parametrar!$B$10</f>
        <v/>
      </c>
      <c r="G21" s="14">
        <f>(D21+E21+F21)*(1+Parametrar!$B$16)</f>
        <v/>
      </c>
      <c r="H21" s="13">
        <f>50*Parametrar!$B$12</f>
        <v/>
      </c>
      <c r="I21" s="13">
        <f>IF(30&gt;4, (30-4)*Parametrar!$B$13*50, 0)</f>
        <v/>
      </c>
      <c r="J21" s="13">
        <f>3*Parametrar!$B$14</f>
        <v/>
      </c>
      <c r="K21" s="15">
        <f>(H21+I21+J21)*(1+Parametrar!$B$16)</f>
        <v/>
      </c>
    </row>
    <row r="22">
      <c r="A22" s="12" t="n">
        <v>50</v>
      </c>
      <c r="B22" s="12" t="n">
        <v>60</v>
      </c>
      <c r="C22" s="12" t="n">
        <v>5</v>
      </c>
      <c r="D22" s="13">
        <f>50*60*Parametrar!$B$5</f>
        <v/>
      </c>
      <c r="E22" s="13">
        <f>5*Parametrar!$B$9</f>
        <v/>
      </c>
      <c r="F22" s="13">
        <f>Parametrar!$B$10</f>
        <v/>
      </c>
      <c r="G22" s="14">
        <f>(D22+E22+F22)*(1+Parametrar!$B$16)</f>
        <v/>
      </c>
      <c r="H22" s="13">
        <f>50*Parametrar!$B$12</f>
        <v/>
      </c>
      <c r="I22" s="13">
        <f>IF(60&gt;4, (60-4)*Parametrar!$B$13*50, 0)</f>
        <v/>
      </c>
      <c r="J22" s="13">
        <f>5*Parametrar!$B$14</f>
        <v/>
      </c>
      <c r="K22" s="15">
        <f>(H22+I22+J22)*(1+Parametrar!$B$16)</f>
        <v/>
      </c>
    </row>
    <row r="25">
      <c r="A25" s="16" t="inlineStr">
        <is>
          <t>📊  DIFFERENS (Kiosh − Sanifix, inkl moms)</t>
        </is>
      </c>
    </row>
    <row r="27">
      <c r="A27" s="3" t="inlineStr">
        <is>
          <t>Antal toa</t>
        </is>
      </c>
      <c r="B27" s="3" t="inlineStr">
        <is>
          <t>Hyrtid (dgr)</t>
        </is>
      </c>
      <c r="C27" s="3" t="inlineStr">
        <is>
          <t>Kiosh TOT</t>
        </is>
      </c>
      <c r="D27" s="3" t="inlineStr">
        <is>
          <t>Sanifix TOT</t>
        </is>
      </c>
      <c r="E27" s="3" t="inlineStr">
        <is>
          <t>Diff (kr)</t>
        </is>
      </c>
      <c r="F27" s="3" t="inlineStr">
        <is>
          <t>Diff (%)</t>
        </is>
      </c>
      <c r="G27" s="3" t="inlineStr">
        <is>
          <t>Status</t>
        </is>
      </c>
    </row>
    <row r="28">
      <c r="A28" s="12" t="n">
        <v>10</v>
      </c>
      <c r="B28" s="12" t="n">
        <v>4</v>
      </c>
      <c r="C28" s="13">
        <f>G6</f>
        <v/>
      </c>
      <c r="D28" s="13">
        <f>K6</f>
        <v/>
      </c>
      <c r="E28" s="17">
        <f>G6-K6</f>
        <v/>
      </c>
      <c r="F28" s="18">
        <f>IFERROR((G6-K6)/K6, 0)</f>
        <v/>
      </c>
      <c r="G28" s="19">
        <f>IF(G6&lt;K6,"✅ Kiosh billigare",IF(G6=K6,"⚖️ Lika","⚠️ Sanifix billigare"))</f>
        <v/>
      </c>
    </row>
    <row r="29">
      <c r="A29" s="12" t="n">
        <v>10</v>
      </c>
      <c r="B29" s="12" t="n">
        <v>7</v>
      </c>
      <c r="C29" s="13">
        <f>G7</f>
        <v/>
      </c>
      <c r="D29" s="13">
        <f>K7</f>
        <v/>
      </c>
      <c r="E29" s="17">
        <f>G7-K7</f>
        <v/>
      </c>
      <c r="F29" s="18">
        <f>IFERROR((G7-K7)/K7, 0)</f>
        <v/>
      </c>
      <c r="G29" s="19">
        <f>IF(G7&lt;K7,"✅ Kiosh billigare",IF(G7=K7,"⚖️ Lika","⚠️ Sanifix billigare"))</f>
        <v/>
      </c>
    </row>
    <row r="30">
      <c r="A30" s="12" t="n">
        <v>10</v>
      </c>
      <c r="B30" s="12" t="n">
        <v>14</v>
      </c>
      <c r="C30" s="13">
        <f>G8</f>
        <v/>
      </c>
      <c r="D30" s="13">
        <f>K8</f>
        <v/>
      </c>
      <c r="E30" s="17">
        <f>G8-K8</f>
        <v/>
      </c>
      <c r="F30" s="18">
        <f>IFERROR((G8-K8)/K8, 0)</f>
        <v/>
      </c>
      <c r="G30" s="19">
        <f>IF(G8&lt;K8,"✅ Kiosh billigare",IF(G8=K8,"⚖️ Lika","⚠️ Sanifix billigare"))</f>
        <v/>
      </c>
    </row>
    <row r="31">
      <c r="A31" s="12" t="n">
        <v>10</v>
      </c>
      <c r="B31" s="12" t="n">
        <v>30</v>
      </c>
      <c r="C31" s="13">
        <f>G9</f>
        <v/>
      </c>
      <c r="D31" s="13">
        <f>K9</f>
        <v/>
      </c>
      <c r="E31" s="17">
        <f>G9-K9</f>
        <v/>
      </c>
      <c r="F31" s="18">
        <f>IFERROR((G9-K9)/K9, 0)</f>
        <v/>
      </c>
      <c r="G31" s="19">
        <f>IF(G9&lt;K9,"✅ Kiosh billigare",IF(G9=K9,"⚖️ Lika","⚠️ Sanifix billigare"))</f>
        <v/>
      </c>
    </row>
    <row r="32">
      <c r="A32" s="12" t="n">
        <v>10</v>
      </c>
      <c r="B32" s="12" t="n">
        <v>60</v>
      </c>
      <c r="C32" s="13">
        <f>G10</f>
        <v/>
      </c>
      <c r="D32" s="13">
        <f>K10</f>
        <v/>
      </c>
      <c r="E32" s="17">
        <f>G10-K10</f>
        <v/>
      </c>
      <c r="F32" s="18">
        <f>IFERROR((G10-K10)/K10, 0)</f>
        <v/>
      </c>
      <c r="G32" s="19">
        <f>IF(G10&lt;K10,"✅ Kiosh billigare",IF(G10=K10,"⚖️ Lika","⚠️ Sanifix billigare"))</f>
        <v/>
      </c>
    </row>
    <row r="33">
      <c r="A33" s="12" t="n">
        <v>30</v>
      </c>
      <c r="B33" s="12" t="n">
        <v>4</v>
      </c>
      <c r="C33" s="13">
        <f>G12</f>
        <v/>
      </c>
      <c r="D33" s="13">
        <f>K12</f>
        <v/>
      </c>
      <c r="E33" s="17">
        <f>G12-K12</f>
        <v/>
      </c>
      <c r="F33" s="18">
        <f>IFERROR((G12-K12)/K12, 0)</f>
        <v/>
      </c>
      <c r="G33" s="19">
        <f>IF(G12&lt;K12,"✅ Kiosh billigare",IF(G12=K12,"⚖️ Lika","⚠️ Sanifix billigare"))</f>
        <v/>
      </c>
    </row>
    <row r="34">
      <c r="A34" s="12" t="n">
        <v>30</v>
      </c>
      <c r="B34" s="12" t="n">
        <v>7</v>
      </c>
      <c r="C34" s="13">
        <f>G13</f>
        <v/>
      </c>
      <c r="D34" s="13">
        <f>K13</f>
        <v/>
      </c>
      <c r="E34" s="17">
        <f>G13-K13</f>
        <v/>
      </c>
      <c r="F34" s="18">
        <f>IFERROR((G13-K13)/K13, 0)</f>
        <v/>
      </c>
      <c r="G34" s="19">
        <f>IF(G13&lt;K13,"✅ Kiosh billigare",IF(G13=K13,"⚖️ Lika","⚠️ Sanifix billigare"))</f>
        <v/>
      </c>
    </row>
    <row r="35">
      <c r="A35" s="12" t="n">
        <v>30</v>
      </c>
      <c r="B35" s="12" t="n">
        <v>14</v>
      </c>
      <c r="C35" s="13">
        <f>G14</f>
        <v/>
      </c>
      <c r="D35" s="13">
        <f>K14</f>
        <v/>
      </c>
      <c r="E35" s="17">
        <f>G14-K14</f>
        <v/>
      </c>
      <c r="F35" s="18">
        <f>IFERROR((G14-K14)/K14, 0)</f>
        <v/>
      </c>
      <c r="G35" s="19">
        <f>IF(G14&lt;K14,"✅ Kiosh billigare",IF(G14=K14,"⚖️ Lika","⚠️ Sanifix billigare"))</f>
        <v/>
      </c>
    </row>
    <row r="36">
      <c r="A36" s="12" t="n">
        <v>30</v>
      </c>
      <c r="B36" s="12" t="n">
        <v>30</v>
      </c>
      <c r="C36" s="13">
        <f>G15</f>
        <v/>
      </c>
      <c r="D36" s="13">
        <f>K15</f>
        <v/>
      </c>
      <c r="E36" s="17">
        <f>G15-K15</f>
        <v/>
      </c>
      <c r="F36" s="18">
        <f>IFERROR((G15-K15)/K15, 0)</f>
        <v/>
      </c>
      <c r="G36" s="19">
        <f>IF(G15&lt;K15,"✅ Kiosh billigare",IF(G15=K15,"⚖️ Lika","⚠️ Sanifix billigare"))</f>
        <v/>
      </c>
    </row>
    <row r="37">
      <c r="A37" s="12" t="n">
        <v>30</v>
      </c>
      <c r="B37" s="12" t="n">
        <v>60</v>
      </c>
      <c r="C37" s="13">
        <f>G16</f>
        <v/>
      </c>
      <c r="D37" s="13">
        <f>K16</f>
        <v/>
      </c>
      <c r="E37" s="17">
        <f>G16-K16</f>
        <v/>
      </c>
      <c r="F37" s="18">
        <f>IFERROR((G16-K16)/K16, 0)</f>
        <v/>
      </c>
      <c r="G37" s="19">
        <f>IF(G16&lt;K16,"✅ Kiosh billigare",IF(G16=K16,"⚖️ Lika","⚠️ Sanifix billigare"))</f>
        <v/>
      </c>
    </row>
    <row r="38">
      <c r="A38" s="12" t="n">
        <v>50</v>
      </c>
      <c r="B38" s="12" t="n">
        <v>4</v>
      </c>
      <c r="C38" s="13">
        <f>G18</f>
        <v/>
      </c>
      <c r="D38" s="13">
        <f>K18</f>
        <v/>
      </c>
      <c r="E38" s="17">
        <f>G18-K18</f>
        <v/>
      </c>
      <c r="F38" s="18">
        <f>IFERROR((G18-K18)/K18, 0)</f>
        <v/>
      </c>
      <c r="G38" s="19">
        <f>IF(G18&lt;K18,"✅ Kiosh billigare",IF(G18=K18,"⚖️ Lika","⚠️ Sanifix billigare"))</f>
        <v/>
      </c>
    </row>
    <row r="39">
      <c r="A39" s="12" t="n">
        <v>50</v>
      </c>
      <c r="B39" s="12" t="n">
        <v>7</v>
      </c>
      <c r="C39" s="13">
        <f>G19</f>
        <v/>
      </c>
      <c r="D39" s="13">
        <f>K19</f>
        <v/>
      </c>
      <c r="E39" s="17">
        <f>G19-K19</f>
        <v/>
      </c>
      <c r="F39" s="18">
        <f>IFERROR((G19-K19)/K19, 0)</f>
        <v/>
      </c>
      <c r="G39" s="19">
        <f>IF(G19&lt;K19,"✅ Kiosh billigare",IF(G19=K19,"⚖️ Lika","⚠️ Sanifix billigare"))</f>
        <v/>
      </c>
    </row>
    <row r="40">
      <c r="A40" s="12" t="n">
        <v>50</v>
      </c>
      <c r="B40" s="12" t="n">
        <v>14</v>
      </c>
      <c r="C40" s="13">
        <f>G20</f>
        <v/>
      </c>
      <c r="D40" s="13">
        <f>K20</f>
        <v/>
      </c>
      <c r="E40" s="17">
        <f>G20-K20</f>
        <v/>
      </c>
      <c r="F40" s="18">
        <f>IFERROR((G20-K20)/K20, 0)</f>
        <v/>
      </c>
      <c r="G40" s="19">
        <f>IF(G20&lt;K20,"✅ Kiosh billigare",IF(G20=K20,"⚖️ Lika","⚠️ Sanifix billigare"))</f>
        <v/>
      </c>
    </row>
    <row r="41">
      <c r="A41" s="12" t="n">
        <v>50</v>
      </c>
      <c r="B41" s="12" t="n">
        <v>30</v>
      </c>
      <c r="C41" s="13">
        <f>G21</f>
        <v/>
      </c>
      <c r="D41" s="13">
        <f>K21</f>
        <v/>
      </c>
      <c r="E41" s="17">
        <f>G21-K21</f>
        <v/>
      </c>
      <c r="F41" s="18">
        <f>IFERROR((G21-K21)/K21, 0)</f>
        <v/>
      </c>
      <c r="G41" s="19">
        <f>IF(G21&lt;K21,"✅ Kiosh billigare",IF(G21=K21,"⚖️ Lika","⚠️ Sanifix billigare"))</f>
        <v/>
      </c>
    </row>
    <row r="42">
      <c r="A42" s="12" t="n">
        <v>50</v>
      </c>
      <c r="B42" s="12" t="n">
        <v>60</v>
      </c>
      <c r="C42" s="13">
        <f>G22</f>
        <v/>
      </c>
      <c r="D42" s="13">
        <f>K22</f>
        <v/>
      </c>
      <c r="E42" s="17">
        <f>G22-K22</f>
        <v/>
      </c>
      <c r="F42" s="18">
        <f>IFERROR((G22-K22)/K22, 0)</f>
        <v/>
      </c>
      <c r="G42" s="19">
        <f>IF(G22&lt;K22,"✅ Kiosh billigare",IF(G22=K22,"⚖️ Lika","⚠️ Sanifix billigare"))</f>
        <v/>
      </c>
    </row>
  </sheetData>
  <mergeCells count="6">
    <mergeCell ref="A25:K25"/>
    <mergeCell ref="A2:K2"/>
    <mergeCell ref="A11:K11"/>
    <mergeCell ref="A5:K5"/>
    <mergeCell ref="A1:K1"/>
    <mergeCell ref="A17:K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14" customWidth="1" min="4" max="4"/>
    <col width="11" customWidth="1" min="5" max="5"/>
    <col width="24" customWidth="1" min="6" max="6"/>
    <col width="24" customWidth="1" min="7" max="7"/>
  </cols>
  <sheetData>
    <row r="1">
      <c r="A1" s="20" t="inlineStr">
        <is>
          <t>📈  Effektivt dagspris per modul (totalt ÷ dagar)</t>
        </is>
      </c>
    </row>
    <row r="2">
      <c r="A2" s="9" t="inlineStr">
        <is>
          <t>Visar hur dagspriset/modul förändras med hyrtid. Sanifix sjunker drastiskt på långhyra pga 50 kr/dag-modellen.</t>
        </is>
      </c>
    </row>
    <row r="4" ht="45" customHeight="1">
      <c r="A4" s="3" t="inlineStr">
        <is>
          <t>Hyrtid</t>
        </is>
      </c>
      <c r="B4" s="3" t="inlineStr">
        <is>
          <t>Kiosh kr/dag/modul (ex moms)</t>
        </is>
      </c>
      <c r="C4" s="3" t="inlineStr">
        <is>
          <t>Sanifix kr/dag/modul (ex moms)</t>
        </is>
      </c>
      <c r="D4" s="3" t="inlineStr">
        <is>
          <t>Diff kr/dag</t>
        </is>
      </c>
      <c r="E4" s="3" t="inlineStr">
        <is>
          <t>Diff %</t>
        </is>
      </c>
      <c r="F4" s="3" t="inlineStr">
        <is>
          <t>Kiosh inkl. moms/dag/modul</t>
        </is>
      </c>
      <c r="G4" s="3" t="inlineStr">
        <is>
          <t>Sanifix inkl. moms/dag/modul</t>
        </is>
      </c>
    </row>
    <row r="5">
      <c r="A5" s="12" t="n">
        <v>1</v>
      </c>
      <c r="B5" s="13">
        <f>Parametrar!$B$5</f>
        <v/>
      </c>
      <c r="C5" s="13">
        <f>(Parametrar!$B$12+MAX(1-4,0)*Parametrar!$B$13)/1</f>
        <v/>
      </c>
      <c r="D5" s="13">
        <f>B5-C5</f>
        <v/>
      </c>
      <c r="E5" s="18">
        <f>IFERROR((B5-C5)/C5, 0)</f>
        <v/>
      </c>
      <c r="F5" s="13">
        <f>B5*(1+Parametrar!$B$16)</f>
        <v/>
      </c>
      <c r="G5" s="13">
        <f>C5*(1+Parametrar!$B$16)</f>
        <v/>
      </c>
    </row>
    <row r="6">
      <c r="A6" s="12" t="n">
        <v>2</v>
      </c>
      <c r="B6" s="13">
        <f>Parametrar!$B$5</f>
        <v/>
      </c>
      <c r="C6" s="13">
        <f>(Parametrar!$B$12+MAX(2-4,0)*Parametrar!$B$13)/2</f>
        <v/>
      </c>
      <c r="D6" s="13">
        <f>B6-C6</f>
        <v/>
      </c>
      <c r="E6" s="18">
        <f>IFERROR((B6-C6)/C6, 0)</f>
        <v/>
      </c>
      <c r="F6" s="13">
        <f>B6*(1+Parametrar!$B$16)</f>
        <v/>
      </c>
      <c r="G6" s="13">
        <f>C6*(1+Parametrar!$B$16)</f>
        <v/>
      </c>
    </row>
    <row r="7">
      <c r="A7" s="12" t="n">
        <v>3</v>
      </c>
      <c r="B7" s="13">
        <f>Parametrar!$B$5</f>
        <v/>
      </c>
      <c r="C7" s="13">
        <f>(Parametrar!$B$12+MAX(3-4,0)*Parametrar!$B$13)/3</f>
        <v/>
      </c>
      <c r="D7" s="13">
        <f>B7-C7</f>
        <v/>
      </c>
      <c r="E7" s="18">
        <f>IFERROR((B7-C7)/C7, 0)</f>
        <v/>
      </c>
      <c r="F7" s="13">
        <f>B7*(1+Parametrar!$B$16)</f>
        <v/>
      </c>
      <c r="G7" s="13">
        <f>C7*(1+Parametrar!$B$16)</f>
        <v/>
      </c>
    </row>
    <row r="8">
      <c r="A8" s="12" t="n">
        <v>4</v>
      </c>
      <c r="B8" s="13">
        <f>Parametrar!$B$5</f>
        <v/>
      </c>
      <c r="C8" s="13">
        <f>(Parametrar!$B$12+MAX(4-4,0)*Parametrar!$B$13)/4</f>
        <v/>
      </c>
      <c r="D8" s="13">
        <f>B8-C8</f>
        <v/>
      </c>
      <c r="E8" s="18">
        <f>IFERROR((B8-C8)/C8, 0)</f>
        <v/>
      </c>
      <c r="F8" s="13">
        <f>B8*(1+Parametrar!$B$16)</f>
        <v/>
      </c>
      <c r="G8" s="13">
        <f>C8*(1+Parametrar!$B$16)</f>
        <v/>
      </c>
    </row>
    <row r="9">
      <c r="A9" s="12" t="n">
        <v>5</v>
      </c>
      <c r="B9" s="13">
        <f>Parametrar!$B$5</f>
        <v/>
      </c>
      <c r="C9" s="13">
        <f>(Parametrar!$B$12+MAX(5-4,0)*Parametrar!$B$13)/5</f>
        <v/>
      </c>
      <c r="D9" s="13">
        <f>B9-C9</f>
        <v/>
      </c>
      <c r="E9" s="18">
        <f>IFERROR((B9-C9)/C9, 0)</f>
        <v/>
      </c>
      <c r="F9" s="13">
        <f>B9*(1+Parametrar!$B$16)</f>
        <v/>
      </c>
      <c r="G9" s="13">
        <f>C9*(1+Parametrar!$B$16)</f>
        <v/>
      </c>
    </row>
    <row r="10">
      <c r="A10" s="12" t="n">
        <v>7</v>
      </c>
      <c r="B10" s="13">
        <f>Parametrar!$B$5</f>
        <v/>
      </c>
      <c r="C10" s="13">
        <f>(Parametrar!$B$12+MAX(7-4,0)*Parametrar!$B$13)/7</f>
        <v/>
      </c>
      <c r="D10" s="13">
        <f>B10-C10</f>
        <v/>
      </c>
      <c r="E10" s="18">
        <f>IFERROR((B10-C10)/C10, 0)</f>
        <v/>
      </c>
      <c r="F10" s="13">
        <f>B10*(1+Parametrar!$B$16)</f>
        <v/>
      </c>
      <c r="G10" s="13">
        <f>C10*(1+Parametrar!$B$16)</f>
        <v/>
      </c>
    </row>
    <row r="11">
      <c r="A11" s="12" t="n">
        <v>10</v>
      </c>
      <c r="B11" s="13">
        <f>Parametrar!$B$5</f>
        <v/>
      </c>
      <c r="C11" s="13">
        <f>(Parametrar!$B$12+MAX(10-4,0)*Parametrar!$B$13)/10</f>
        <v/>
      </c>
      <c r="D11" s="13">
        <f>B11-C11</f>
        <v/>
      </c>
      <c r="E11" s="18">
        <f>IFERROR((B11-C11)/C11, 0)</f>
        <v/>
      </c>
      <c r="F11" s="13">
        <f>B11*(1+Parametrar!$B$16)</f>
        <v/>
      </c>
      <c r="G11" s="13">
        <f>C11*(1+Parametrar!$B$16)</f>
        <v/>
      </c>
    </row>
    <row r="12">
      <c r="A12" s="12" t="n">
        <v>14</v>
      </c>
      <c r="B12" s="13">
        <f>Parametrar!$B$5</f>
        <v/>
      </c>
      <c r="C12" s="13">
        <f>(Parametrar!$B$12+MAX(14-4,0)*Parametrar!$B$13)/14</f>
        <v/>
      </c>
      <c r="D12" s="13">
        <f>B12-C12</f>
        <v/>
      </c>
      <c r="E12" s="18">
        <f>IFERROR((B12-C12)/C12, 0)</f>
        <v/>
      </c>
      <c r="F12" s="13">
        <f>B12*(1+Parametrar!$B$16)</f>
        <v/>
      </c>
      <c r="G12" s="13">
        <f>C12*(1+Parametrar!$B$16)</f>
        <v/>
      </c>
    </row>
    <row r="13">
      <c r="A13" s="12" t="n">
        <v>21</v>
      </c>
      <c r="B13" s="13">
        <f>Parametrar!$B$5</f>
        <v/>
      </c>
      <c r="C13" s="13">
        <f>(Parametrar!$B$12+MAX(21-4,0)*Parametrar!$B$13)/21</f>
        <v/>
      </c>
      <c r="D13" s="13">
        <f>B13-C13</f>
        <v/>
      </c>
      <c r="E13" s="18">
        <f>IFERROR((B13-C13)/C13, 0)</f>
        <v/>
      </c>
      <c r="F13" s="13">
        <f>B13*(1+Parametrar!$B$16)</f>
        <v/>
      </c>
      <c r="G13" s="13">
        <f>C13*(1+Parametrar!$B$16)</f>
        <v/>
      </c>
    </row>
    <row r="14">
      <c r="A14" s="12" t="n">
        <v>30</v>
      </c>
      <c r="B14" s="13">
        <f>Parametrar!$B$5</f>
        <v/>
      </c>
      <c r="C14" s="13">
        <f>(Parametrar!$B$12+MAX(30-4,0)*Parametrar!$B$13)/30</f>
        <v/>
      </c>
      <c r="D14" s="13">
        <f>B14-C14</f>
        <v/>
      </c>
      <c r="E14" s="18">
        <f>IFERROR((B14-C14)/C14, 0)</f>
        <v/>
      </c>
      <c r="F14" s="13">
        <f>B14*(1+Parametrar!$B$16)</f>
        <v/>
      </c>
      <c r="G14" s="13">
        <f>C14*(1+Parametrar!$B$16)</f>
        <v/>
      </c>
    </row>
    <row r="15">
      <c r="A15" s="12" t="n">
        <v>45</v>
      </c>
      <c r="B15" s="13">
        <f>Parametrar!$B$5</f>
        <v/>
      </c>
      <c r="C15" s="13">
        <f>(Parametrar!$B$12+MAX(45-4,0)*Parametrar!$B$13)/45</f>
        <v/>
      </c>
      <c r="D15" s="13">
        <f>B15-C15</f>
        <v/>
      </c>
      <c r="E15" s="18">
        <f>IFERROR((B15-C15)/C15, 0)</f>
        <v/>
      </c>
      <c r="F15" s="13">
        <f>B15*(1+Parametrar!$B$16)</f>
        <v/>
      </c>
      <c r="G15" s="13">
        <f>C15*(1+Parametrar!$B$16)</f>
        <v/>
      </c>
    </row>
    <row r="16">
      <c r="A16" s="12" t="n">
        <v>60</v>
      </c>
      <c r="B16" s="13">
        <f>Parametrar!$B$5</f>
        <v/>
      </c>
      <c r="C16" s="13">
        <f>(Parametrar!$B$12+MAX(60-4,0)*Parametrar!$B$13)/60</f>
        <v/>
      </c>
      <c r="D16" s="13">
        <f>B16-C16</f>
        <v/>
      </c>
      <c r="E16" s="18">
        <f>IFERROR((B16-C16)/C16, 0)</f>
        <v/>
      </c>
      <c r="F16" s="13">
        <f>B16*(1+Parametrar!$B$16)</f>
        <v/>
      </c>
      <c r="G16" s="13">
        <f>C16*(1+Parametrar!$B$16)</f>
        <v/>
      </c>
    </row>
    <row r="17">
      <c r="A17" s="12" t="n">
        <v>90</v>
      </c>
      <c r="B17" s="13">
        <f>Parametrar!$B$5</f>
        <v/>
      </c>
      <c r="C17" s="13">
        <f>(Parametrar!$B$12+MAX(90-4,0)*Parametrar!$B$13)/90</f>
        <v/>
      </c>
      <c r="D17" s="13">
        <f>B17-C17</f>
        <v/>
      </c>
      <c r="E17" s="18">
        <f>IFERROR((B17-C17)/C17, 0)</f>
        <v/>
      </c>
      <c r="F17" s="13">
        <f>B17*(1+Parametrar!$B$16)</f>
        <v/>
      </c>
      <c r="G17" s="13">
        <f>C17*(1+Parametrar!$B$16)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6" customWidth="1" min="3" max="3"/>
    <col width="26" customWidth="1" min="4" max="4"/>
    <col width="4" customWidth="1" min="5" max="5"/>
    <col width="14" customWidth="1" min="6" max="6"/>
    <col width="22" customWidth="1" min="7" max="7"/>
    <col width="12" customWidth="1" min="8" max="8"/>
    <col width="12" customWidth="1" min="9" max="9"/>
  </cols>
  <sheetData>
    <row r="1">
      <c r="A1" s="20" t="inlineStr">
        <is>
          <t>🎨  Mixad portfölj — t.ex. Stockholm-evenemang med olika modeller</t>
        </is>
      </c>
    </row>
    <row r="2">
      <c r="A2" s="9" t="inlineStr">
        <is>
          <t>Justera antal av varje modell + hyrtid → Kiosh-pris räknas. Sanifix-jämförelse baseras på Holken-modellen.</t>
        </is>
      </c>
    </row>
    <row r="4">
      <c r="A4" s="3" t="inlineStr">
        <is>
          <t>Modell</t>
        </is>
      </c>
      <c r="B4" s="3" t="inlineStr">
        <is>
          <t>Antal</t>
        </is>
      </c>
      <c r="C4" s="3" t="inlineStr">
        <is>
          <t>Pris/dag/st</t>
        </is>
      </c>
      <c r="D4" s="3" t="inlineStr">
        <is>
          <t>Subtotal (dgr×antal×pris)</t>
        </is>
      </c>
      <c r="F4" s="3" t="inlineStr">
        <is>
          <t>Hyrtid (dgr)</t>
        </is>
      </c>
      <c r="G4" s="3" t="inlineStr">
        <is>
          <t>Antal service-tillfällen</t>
        </is>
      </c>
    </row>
    <row r="5">
      <c r="A5" s="19" t="inlineStr">
        <is>
          <t>Standardtoalett</t>
        </is>
      </c>
      <c r="B5" s="6" t="n">
        <v>30</v>
      </c>
      <c r="C5" s="13">
        <f>Parametrar!$B$5</f>
        <v/>
      </c>
      <c r="D5" s="13">
        <f>B5*C5*$F$5</f>
        <v/>
      </c>
      <c r="F5" s="6" t="n">
        <v>7</v>
      </c>
      <c r="G5" s="6" t="n">
        <v>0</v>
      </c>
    </row>
    <row r="6">
      <c r="A6" s="19" t="inlineStr">
        <is>
          <t>Premiumtoalett</t>
        </is>
      </c>
      <c r="B6" s="6" t="n">
        <v>10</v>
      </c>
      <c r="C6" s="13">
        <f>Parametrar!$B$6</f>
        <v/>
      </c>
      <c r="D6" s="13">
        <f>B6*C6*$F$5</f>
        <v/>
      </c>
    </row>
    <row r="7">
      <c r="A7" s="19" t="inlineStr">
        <is>
          <t>Handikapptoalett</t>
        </is>
      </c>
      <c r="B7" s="6" t="n">
        <v>8</v>
      </c>
      <c r="C7" s="13">
        <f>Parametrar!$B$7</f>
        <v/>
      </c>
      <c r="D7" s="13">
        <f>B7*C7*$F$5</f>
        <v/>
      </c>
    </row>
    <row r="8">
      <c r="A8" s="19" t="inlineStr">
        <is>
          <t>Lyxtoalett</t>
        </is>
      </c>
      <c r="B8" s="6" t="n">
        <v>2</v>
      </c>
      <c r="C8" s="13">
        <f>Parametrar!$B$8</f>
        <v/>
      </c>
      <c r="D8" s="13">
        <f>B8*C8*$F$5</f>
        <v/>
      </c>
    </row>
    <row r="10">
      <c r="A10" s="21" t="inlineStr">
        <is>
          <t>Total hyra</t>
        </is>
      </c>
      <c r="D10" s="22">
        <f>SUM(D5:D8)</f>
        <v/>
      </c>
    </row>
    <row r="11">
      <c r="A11" t="inlineStr">
        <is>
          <t>Service-kostnad</t>
        </is>
      </c>
      <c r="D11" s="23">
        <f>G5*Parametrar!$B$9</f>
        <v/>
      </c>
    </row>
    <row r="12">
      <c r="A12" t="inlineStr">
        <is>
          <t>Leverans</t>
        </is>
      </c>
      <c r="D12" s="23">
        <f>Parametrar!$B$10</f>
        <v/>
      </c>
    </row>
    <row r="13">
      <c r="A13" s="21" t="inlineStr">
        <is>
          <t>Subtotal (ex moms)</t>
        </is>
      </c>
      <c r="D13" s="24">
        <f>D10+D11+D12</f>
        <v/>
      </c>
    </row>
    <row r="14">
      <c r="A14" t="inlineStr">
        <is>
          <t>Moms 25%</t>
        </is>
      </c>
      <c r="D14" s="23">
        <f>D13*Parametrar!$B$16</f>
        <v/>
      </c>
    </row>
    <row r="15">
      <c r="A15" s="25" t="inlineStr">
        <is>
          <t>TOTALT KIOSH inkl. moms</t>
        </is>
      </c>
      <c r="D15" s="26">
        <f>D13+D14</f>
        <v/>
      </c>
    </row>
    <row r="17">
      <c r="A17" s="27" t="inlineStr">
        <is>
          <t>Sanifix-jämförelse (alla som Holken-standard)</t>
        </is>
      </c>
    </row>
    <row r="18">
      <c r="A18" t="inlineStr">
        <is>
          <t>Totalt antal moduler</t>
        </is>
      </c>
      <c r="B18" s="21">
        <f>SUM(B5:B8)</f>
        <v/>
      </c>
    </row>
    <row r="19">
      <c r="A19" t="inlineStr">
        <is>
          <t>Sanifix grundpris</t>
        </is>
      </c>
      <c r="D19" s="23">
        <f>B18*Parametrar!$B$12</f>
        <v/>
      </c>
    </row>
    <row r="20">
      <c r="A20" t="inlineStr">
        <is>
          <t>Sanifix dag 5+ påslag</t>
        </is>
      </c>
      <c r="D20" s="23">
        <f>IF(F5&gt;4, (F5-4)*Parametrar!$B$13*B18, 0)</f>
        <v/>
      </c>
    </row>
    <row r="21">
      <c r="A21" t="inlineStr">
        <is>
          <t>Sanifix service</t>
        </is>
      </c>
      <c r="D21" s="23">
        <f>G5*Parametrar!$B$14</f>
        <v/>
      </c>
    </row>
    <row r="22">
      <c r="A22" t="inlineStr">
        <is>
          <t>Sanifix subtotal</t>
        </is>
      </c>
      <c r="D22" s="23">
        <f>D19+D20+D21</f>
        <v/>
      </c>
    </row>
    <row r="23">
      <c r="A23" t="inlineStr">
        <is>
          <t>Moms 25%</t>
        </is>
      </c>
      <c r="D23" s="23">
        <f>D22*Parametrar!$B$16</f>
        <v/>
      </c>
    </row>
    <row r="24">
      <c r="A24" s="25" t="inlineStr">
        <is>
          <t>TOTALT SANIFIX inkl. moms</t>
        </is>
      </c>
      <c r="D24" s="28">
        <f>D22+D23</f>
        <v/>
      </c>
    </row>
    <row r="26">
      <c r="A26" s="25" t="inlineStr">
        <is>
          <t>DIFFERENS</t>
        </is>
      </c>
      <c r="D26" s="29">
        <f>D15-D24</f>
        <v/>
      </c>
    </row>
    <row r="27">
      <c r="A27" t="inlineStr">
        <is>
          <t>DIFFERENS %</t>
        </is>
      </c>
      <c r="D27" s="30">
        <f>IFERROR((D15-D24)/D24, 0)</f>
        <v/>
      </c>
    </row>
    <row r="28">
      <c r="A28" t="inlineStr">
        <is>
          <t>Status</t>
        </is>
      </c>
      <c r="D28" s="25">
        <f>IF(D15&lt;D24, "✅ Kiosh billigare", IF(D15=D24, "⚖️ Lika", "⚠️ Sanifix billigare"))</f>
        <v/>
      </c>
    </row>
  </sheetData>
  <mergeCells count="3">
    <mergeCell ref="A1:I1"/>
    <mergeCell ref="A17:D1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2026-06-11T13:16:52Z</dcterms:created>
  <dcterms:modified xsi:type="dcterms:W3CDTF">2026-06-11T13:16:52Z</dcterms:modified>
</cp:coreProperties>
</file>